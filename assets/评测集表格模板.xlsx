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994079fbd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集" sheetId="1" r:id="Rbbca3d0c23ae4999"/>
    <x:sheet xmlns:r="http://schemas.openxmlformats.org/officeDocument/2006/relationships" name="评分工作台" sheetId="2" r:id="Ref620b9ccbde4e12"/>
    <x:sheet xmlns:r="http://schemas.openxmlformats.org/officeDocument/2006/relationships" name="评分标准" sheetId="3" r:id="Rd12a18e6023f4d16"/>
    <x:sheet xmlns:r="http://schemas.openxmlformats.org/officeDocument/2006/relationships" name="评分汇总" sheetId="4" r:id="R32e7c546fa94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3F5F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a23ed958541e5" /><Relationship Type="http://schemas.openxmlformats.org/officeDocument/2006/relationships/theme" Target="/xl/theme/theme1.xml" Id="Rb2c5834428d54e70" /><Relationship Type="http://schemas.openxmlformats.org/officeDocument/2006/relationships/sharedStrings" Target="/xl/sharedStrings.xml" Id="Reb6e9ec56b184c23" /><Relationship Type="http://schemas.openxmlformats.org/officeDocument/2006/relationships/worksheet" Target="/xl/worksheets/sheet1.xml" Id="Rbbca3d0c23ae4999" /><Relationship Type="http://schemas.openxmlformats.org/officeDocument/2006/relationships/worksheet" Target="/xl/worksheets/sheet2.xml" Id="Ref620b9ccbde4e12" /><Relationship Type="http://schemas.openxmlformats.org/officeDocument/2006/relationships/worksheet" Target="/xl/worksheets/sheet3.xml" Id="Rd12a18e6023f4d16" /><Relationship Type="http://schemas.openxmlformats.org/officeDocument/2006/relationships/worksheet" Target="/xl/worksheets/sheet4.xml" Id="R32e7c546fa944d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4" hidden="0" customWidth="1"/>
    <x:col min="5" max="5" width="17" hidden="0" customWidth="1"/>
    <x:col min="6" max="6" width="17" hidden="0" customWidth="1"/>
    <x:col min="7" max="7" width="34" hidden="0" customWidth="1"/>
    <x:col min="8" max="8" width="34" hidden="0" customWidth="1"/>
    <x:col min="9" max="9" width="23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2" customHeight="1">
      <x:c r="A1" s="4" t="str">
        <x:v>case_id</x:v>
      </x:c>
      <x:c r="B1" s="4" t="str">
        <x:v>评测对象</x:v>
      </x:c>
      <x:c r="C1" s="4" t="str">
        <x:v>场景分类</x:v>
      </x:c>
      <x:c r="D1" s="4" t="str">
        <x:v>测试输入</x:v>
      </x:c>
      <x:c r="E1" s="4" t="str">
        <x:v>难度</x:v>
      </x:c>
      <x:c r="F1" s="4" t="str">
        <x:v>样本类型</x:v>
      </x:c>
      <x:c r="G1" s="4" t="str">
        <x:v>预期表现</x:v>
      </x:c>
      <x:c r="H1" s="4" t="str">
        <x:v>硬性约束</x:v>
      </x:c>
      <x:c r="I1" s="4" t="str">
        <x:v>metric_ids</x:v>
      </x:c>
      <x:c r="J1" s="4" t="str">
        <x:v>数据来源</x:v>
      </x:c>
      <x:c r="K1" s="4" t="str">
        <x:v>参考材料</x:v>
      </x:c>
      <x:c r="L1" s="4" t="str">
        <x:v>备注</x:v>
      </x:c>
    </x:row>
    <x:row r="2" ht="28" customHeight="1">
      <x:c r="A2" s="1"/>
      <x:c r="B2" s="1"/>
      <x:c r="C2" s="1"/>
      <x:c r="D2" s="6"/>
      <x:c r="E2" s="1"/>
      <x:c r="F2" s="1"/>
      <x:c r="G2" s="6"/>
      <x:c r="H2" s="6"/>
      <x:c r="I2" s="1"/>
      <x:c r="J2" s="1"/>
      <x:c r="K2" s="1"/>
      <x:c r="L2" s="1"/>
    </x:row>
    <x:row r="3" ht="28" customHeight="1">
      <x:c r="A3" s="5"/>
      <x:c r="B3" s="5"/>
      <x:c r="C3" s="5"/>
      <x:c r="D3" s="7"/>
      <x:c r="E3" s="5"/>
      <x:c r="F3" s="5"/>
      <x:c r="G3" s="7"/>
      <x:c r="H3" s="7"/>
      <x:c r="I3" s="5"/>
      <x:c r="J3" s="5"/>
      <x:c r="K3" s="5"/>
      <x:c r="L3" s="5"/>
    </x:row>
    <x:row r="4" ht="28" customHeight="1">
      <x:c r="A4" s="1"/>
      <x:c r="B4" s="1"/>
      <x:c r="C4" s="1"/>
      <x:c r="D4" s="6"/>
      <x:c r="E4" s="1"/>
      <x:c r="F4" s="1"/>
      <x:c r="G4" s="6"/>
      <x:c r="H4" s="6"/>
      <x:c r="I4" s="1"/>
      <x:c r="J4" s="1"/>
      <x:c r="K4" s="1"/>
      <x:c r="L4" s="1"/>
    </x:row>
    <x:row r="5" ht="28" customHeight="1">
      <x:c r="A5" s="5"/>
      <x:c r="B5" s="5"/>
      <x:c r="C5" s="5"/>
      <x:c r="D5" s="7"/>
      <x:c r="E5" s="5"/>
      <x:c r="F5" s="5"/>
      <x:c r="G5" s="7"/>
      <x:c r="H5" s="7"/>
      <x:c r="I5" s="5"/>
      <x:c r="J5" s="5"/>
      <x:c r="K5" s="5"/>
      <x:c r="L5" s="5"/>
    </x:row>
    <x:row r="6" ht="28" customHeight="1">
      <x:c r="A6" s="1"/>
      <x:c r="B6" s="1"/>
      <x:c r="C6" s="1"/>
      <x:c r="D6" s="6"/>
      <x:c r="E6" s="1"/>
      <x:c r="F6" s="1"/>
      <x:c r="G6" s="6"/>
      <x:c r="H6" s="6"/>
      <x:c r="I6" s="1"/>
      <x:c r="J6" s="1"/>
      <x:c r="K6" s="1"/>
      <x:c r="L6" s="1"/>
    </x:row>
    <x:row r="7" ht="28" customHeight="1">
      <x:c r="A7" s="5"/>
      <x:c r="B7" s="5"/>
      <x:c r="C7" s="5"/>
      <x:c r="D7" s="7"/>
      <x:c r="E7" s="5"/>
      <x:c r="F7" s="5"/>
      <x:c r="G7" s="7"/>
      <x:c r="H7" s="7"/>
      <x:c r="I7" s="5"/>
      <x:c r="J7" s="5"/>
      <x:c r="K7" s="5"/>
      <x:c r="L7" s="5"/>
    </x:row>
    <x:row r="8" ht="28" customHeight="1">
      <x:c r="A8" s="1"/>
      <x:c r="B8" s="1"/>
      <x:c r="C8" s="1"/>
      <x:c r="D8" s="6"/>
      <x:c r="E8" s="1"/>
      <x:c r="F8" s="1"/>
      <x:c r="G8" s="6"/>
      <x:c r="H8" s="6"/>
      <x:c r="I8" s="1"/>
      <x:c r="J8" s="1"/>
      <x:c r="K8" s="1"/>
      <x:c r="L8" s="1"/>
    </x:row>
    <x:row r="9" ht="28" customHeight="1">
      <x:c r="A9" s="5"/>
      <x:c r="B9" s="5"/>
      <x:c r="C9" s="5"/>
      <x:c r="D9" s="7"/>
      <x:c r="E9" s="5"/>
      <x:c r="F9" s="5"/>
      <x:c r="G9" s="7"/>
      <x:c r="H9" s="7"/>
      <x:c r="I9" s="5"/>
      <x:c r="J9" s="5"/>
      <x:c r="K9" s="5"/>
      <x:c r="L9" s="5"/>
    </x:row>
    <x:row r="10" ht="28" customHeight="1">
      <x:c r="A10" s="1"/>
      <x:c r="B10" s="1"/>
      <x:c r="C10" s="1"/>
      <x:c r="D10" s="6"/>
      <x:c r="E10" s="1"/>
      <x:c r="F10" s="1"/>
      <x:c r="G10" s="6"/>
      <x:c r="H10" s="6"/>
      <x:c r="I10" s="1"/>
      <x:c r="J10" s="1"/>
      <x:c r="K10" s="1"/>
      <x:c r="L10" s="1"/>
    </x:row>
    <x:row r="11" ht="28" customHeight="1">
      <x:c r="A11" s="5"/>
      <x:c r="B11" s="5"/>
      <x:c r="C11" s="5"/>
      <x:c r="D11" s="7"/>
      <x:c r="E11" s="5"/>
      <x:c r="F11" s="5"/>
      <x:c r="G11" s="7"/>
      <x:c r="H11" s="7"/>
      <x:c r="I11" s="5"/>
      <x:c r="J11" s="5"/>
      <x:c r="K11" s="5"/>
      <x:c r="L11" s="5"/>
    </x:row>
    <x:row r="12" ht="28" customHeight="1">
      <x:c r="A12" s="1"/>
      <x:c r="B12" s="1"/>
      <x:c r="C12" s="1"/>
      <x:c r="D12" s="6"/>
      <x:c r="E12" s="1"/>
      <x:c r="F12" s="1"/>
      <x:c r="G12" s="6"/>
      <x:c r="H12" s="6"/>
      <x:c r="I12" s="1"/>
      <x:c r="J12" s="1"/>
      <x:c r="K12" s="1"/>
      <x:c r="L12" s="1"/>
    </x:row>
    <x:row r="13" ht="28" customHeight="1">
      <x:c r="A13" s="5"/>
      <x:c r="B13" s="5"/>
      <x:c r="C13" s="5"/>
      <x:c r="D13" s="7"/>
      <x:c r="E13" s="5"/>
      <x:c r="F13" s="5"/>
      <x:c r="G13" s="7"/>
      <x:c r="H13" s="7"/>
      <x:c r="I13" s="5"/>
      <x:c r="J13" s="5"/>
      <x:c r="K13" s="5"/>
      <x:c r="L13" s="5"/>
    </x:row>
    <x:row r="14" ht="28" customHeight="1">
      <x:c r="A14" s="1"/>
      <x:c r="B14" s="1"/>
      <x:c r="C14" s="1"/>
      <x:c r="D14" s="6"/>
      <x:c r="E14" s="1"/>
      <x:c r="F14" s="1"/>
      <x:c r="G14" s="6"/>
      <x:c r="H14" s="6"/>
      <x:c r="I14" s="1"/>
      <x:c r="J14" s="1"/>
      <x:c r="K14" s="1"/>
      <x:c r="L14" s="1"/>
    </x:row>
    <x:row r="15" ht="28" customHeight="1">
      <x:c r="A15" s="5"/>
      <x:c r="B15" s="5"/>
      <x:c r="C15" s="5"/>
      <x:c r="D15" s="7"/>
      <x:c r="E15" s="5"/>
      <x:c r="F15" s="5"/>
      <x:c r="G15" s="7"/>
      <x:c r="H15" s="7"/>
      <x:c r="I15" s="5"/>
      <x:c r="J15" s="5"/>
      <x:c r="K15" s="5"/>
      <x:c r="L15" s="5"/>
    </x:row>
    <x:row r="16" ht="28" customHeight="1">
      <x:c r="A16" s="1"/>
      <x:c r="B16" s="1"/>
      <x:c r="C16" s="1"/>
      <x:c r="D16" s="6"/>
      <x:c r="E16" s="1"/>
      <x:c r="F16" s="1"/>
      <x:c r="G16" s="6"/>
      <x:c r="H16" s="6"/>
      <x:c r="I16" s="1"/>
      <x:c r="J16" s="1"/>
      <x:c r="K16" s="1"/>
      <x:c r="L16" s="1"/>
    </x:row>
    <x:row r="17" ht="28" customHeight="1">
      <x:c r="A17" s="5"/>
      <x:c r="B17" s="5"/>
      <x:c r="C17" s="5"/>
      <x:c r="D17" s="7"/>
      <x:c r="E17" s="5"/>
      <x:c r="F17" s="5"/>
      <x:c r="G17" s="7"/>
      <x:c r="H17" s="7"/>
      <x:c r="I17" s="5"/>
      <x:c r="J17" s="5"/>
      <x:c r="K17" s="5"/>
      <x:c r="L17" s="5"/>
    </x:row>
    <x:row r="18" ht="28" customHeight="1">
      <x:c r="A18" s="1"/>
      <x:c r="B18" s="1"/>
      <x:c r="C18" s="1"/>
      <x:c r="D18" s="6"/>
      <x:c r="E18" s="1"/>
      <x:c r="F18" s="1"/>
      <x:c r="G18" s="6"/>
      <x:c r="H18" s="6"/>
      <x:c r="I18" s="1"/>
      <x:c r="J18" s="1"/>
      <x:c r="K18" s="1"/>
      <x:c r="L18" s="1"/>
    </x:row>
    <x:row r="19" ht="28" customHeight="1">
      <x:c r="A19" s="5"/>
      <x:c r="B19" s="5"/>
      <x:c r="C19" s="5"/>
      <x:c r="D19" s="7"/>
      <x:c r="E19" s="5"/>
      <x:c r="F19" s="5"/>
      <x:c r="G19" s="7"/>
      <x:c r="H19" s="7"/>
      <x:c r="I19" s="5"/>
      <x:c r="J19" s="5"/>
      <x:c r="K19" s="5"/>
      <x:c r="L19" s="5"/>
    </x:row>
    <x:row r="20" ht="28" customHeight="1">
      <x:c r="A20" s="1"/>
      <x:c r="B20" s="1"/>
      <x:c r="C20" s="1"/>
      <x:c r="D20" s="6"/>
      <x:c r="E20" s="1"/>
      <x:c r="F20" s="1"/>
      <x:c r="G20" s="6"/>
      <x:c r="H20" s="6"/>
      <x:c r="I20" s="1"/>
      <x:c r="J20" s="1"/>
      <x:c r="K20" s="1"/>
      <x:c r="L20" s="1"/>
    </x:row>
    <x:row r="21" ht="28" customHeight="1">
      <x:c r="A21" s="5"/>
      <x:c r="B21" s="5"/>
      <x:c r="C21" s="5"/>
      <x:c r="D21" s="7"/>
      <x:c r="E21" s="5"/>
      <x:c r="F21" s="5"/>
      <x:c r="G21" s="7"/>
      <x:c r="H21" s="7"/>
      <x:c r="I21" s="5"/>
      <x:c r="J21" s="5"/>
      <x:c r="K21" s="5"/>
      <x:c r="L21" s="5"/>
    </x:row>
    <x:row r="22" ht="28" customHeight="1">
      <x:c r="A22" s="1"/>
      <x:c r="B22" s="1"/>
      <x:c r="C22" s="1"/>
      <x:c r="D22" s="6"/>
      <x:c r="E22" s="1"/>
      <x:c r="F22" s="1"/>
      <x:c r="G22" s="6"/>
      <x:c r="H22" s="6"/>
      <x:c r="I22" s="1"/>
      <x:c r="J22" s="1"/>
      <x:c r="K22" s="1"/>
      <x:c r="L22" s="1"/>
    </x:row>
    <x:row r="23" ht="28" customHeight="1">
      <x:c r="A23" s="5"/>
      <x:c r="B23" s="5"/>
      <x:c r="C23" s="5"/>
      <x:c r="D23" s="7"/>
      <x:c r="E23" s="5"/>
      <x:c r="F23" s="5"/>
      <x:c r="G23" s="7"/>
      <x:c r="H23" s="7"/>
      <x:c r="I23" s="5"/>
      <x:c r="J23" s="5"/>
      <x:c r="K23" s="5"/>
      <x:c r="L23" s="5"/>
    </x:row>
    <x:row r="24" ht="28" customHeight="1">
      <x:c r="A24" s="1"/>
      <x:c r="B24" s="1"/>
      <x:c r="C24" s="1"/>
      <x:c r="D24" s="6"/>
      <x:c r="E24" s="1"/>
      <x:c r="F24" s="1"/>
      <x:c r="G24" s="6"/>
      <x:c r="H24" s="6"/>
      <x:c r="I24" s="1"/>
      <x:c r="J24" s="1"/>
      <x:c r="K24" s="1"/>
      <x:c r="L24" s="1"/>
    </x:row>
    <x:row r="25" ht="28" customHeight="1">
      <x:c r="A25" s="5"/>
      <x:c r="B25" s="5"/>
      <x:c r="C25" s="5"/>
      <x:c r="D25" s="7"/>
      <x:c r="E25" s="5"/>
      <x:c r="F25" s="5"/>
      <x:c r="G25" s="7"/>
      <x:c r="H25" s="7"/>
      <x:c r="I25" s="5"/>
      <x:c r="J25" s="5"/>
      <x:c r="K25" s="5"/>
      <x:c r="L25" s="5"/>
    </x:row>
    <x:row r="26" ht="28" customHeight="1">
      <x:c r="A26" s="1"/>
      <x:c r="B26" s="1"/>
      <x:c r="C26" s="1"/>
      <x:c r="D26" s="6"/>
      <x:c r="E26" s="1"/>
      <x:c r="F26" s="1"/>
      <x:c r="G26" s="6"/>
      <x:c r="H26" s="6"/>
      <x:c r="I26" s="1"/>
      <x:c r="J26" s="1"/>
      <x:c r="K26" s="1"/>
      <x:c r="L26" s="1"/>
    </x:row>
    <x:row r="27" ht="28" customHeight="1">
      <x:c r="A27" s="5"/>
      <x:c r="B27" s="5"/>
      <x:c r="C27" s="5"/>
      <x:c r="D27" s="7"/>
      <x:c r="E27" s="5"/>
      <x:c r="F27" s="5"/>
      <x:c r="G27" s="7"/>
      <x:c r="H27" s="7"/>
      <x:c r="I27" s="5"/>
      <x:c r="J27" s="5"/>
      <x:c r="K27" s="5"/>
      <x:c r="L27" s="5"/>
    </x:row>
    <x:row r="28" ht="28" customHeight="1">
      <x:c r="A28" s="1"/>
      <x:c r="B28" s="1"/>
      <x:c r="C28" s="1"/>
      <x:c r="D28" s="6"/>
      <x:c r="E28" s="1"/>
      <x:c r="F28" s="1"/>
      <x:c r="G28" s="6"/>
      <x:c r="H28" s="6"/>
      <x:c r="I28" s="1"/>
      <x:c r="J28" s="1"/>
      <x:c r="K28" s="1"/>
      <x:c r="L28" s="1"/>
    </x:row>
    <x:row r="29" ht="28" customHeight="1">
      <x:c r="A29" s="5"/>
      <x:c r="B29" s="5"/>
      <x:c r="C29" s="5"/>
      <x:c r="D29" s="7"/>
      <x:c r="E29" s="5"/>
      <x:c r="F29" s="5"/>
      <x:c r="G29" s="7"/>
      <x:c r="H29" s="7"/>
      <x:c r="I29" s="5"/>
      <x:c r="J29" s="5"/>
      <x:c r="K29" s="5"/>
      <x:c r="L29" s="5"/>
    </x:row>
    <x:row r="30" ht="28" customHeight="1">
      <x:c r="A30" s="1"/>
      <x:c r="B30" s="1"/>
      <x:c r="C30" s="1"/>
      <x:c r="D30" s="6"/>
      <x:c r="E30" s="1"/>
      <x:c r="F30" s="1"/>
      <x:c r="G30" s="6"/>
      <x:c r="H30" s="6"/>
      <x:c r="I30" s="1"/>
      <x:c r="J30" s="1"/>
      <x:c r="K30" s="1"/>
      <x:c r="L30" s="1"/>
    </x:row>
    <x:row r="31" ht="28" customHeight="1">
      <x:c r="A31" s="5"/>
      <x:c r="B31" s="5"/>
      <x:c r="C31" s="5"/>
      <x:c r="D31" s="7"/>
      <x:c r="E31" s="5"/>
      <x:c r="F31" s="5"/>
      <x:c r="G31" s="7"/>
      <x:c r="H31" s="7"/>
      <x:c r="I31" s="5"/>
      <x:c r="J31" s="5"/>
      <x:c r="K31" s="5"/>
      <x:c r="L31" s="5"/>
    </x:row>
  </x:sheetData>
  <x:dataValidations count="2">
    <x:dataValidation type="list" sqref="E2:E31">
      <x:formula1>"低,中,高"</x:formula1>
    </x:dataValidation>
    <x:dataValidation type="list" sqref="F2:F31">
      <x:formula1>"常规,复杂,边界,对抗/高风险"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3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34" hidden="0" customWidth="1"/>
    <x:col min="17" max="17" width="17" hidden="0" customWidth="1"/>
    <x:col min="18" max="18" width="17" hidden="0" customWidth="1"/>
  </x:cols>
  <x:sheetData>
    <x:row r="1" ht="42" customHeight="1">
      <x:c r="A1" s="4" t="str">
        <x:v>case_id</x:v>
      </x:c>
      <x:c r="B1" s="4" t="str">
        <x:v>run_id</x:v>
      </x:c>
      <x:c r="C1" s="4" t="str">
        <x:v>评审者</x:v>
      </x:c>
      <x:c r="D1" s="4" t="str">
        <x:v>metric_id</x:v>
      </x:c>
      <x:c r="E1" s="4" t="str">
        <x:v>评分方式</x:v>
      </x:c>
      <x:c r="F1" s="4" t="str">
        <x:v>基线版本</x:v>
      </x:c>
      <x:c r="G1" s="4" t="str">
        <x:v>候选版本</x:v>
      </x:c>
      <x:c r="H1" s="4" t="str">
        <x:v>基线输出</x:v>
      </x:c>
      <x:c r="I1" s="4" t="str">
        <x:v>候选输出</x:v>
      </x:c>
      <x:c r="J1" s="4" t="str">
        <x:v>基线评分</x:v>
      </x:c>
      <x:c r="K1" s="4" t="str">
        <x:v>候选评分</x:v>
      </x:c>
      <x:c r="L1" s="4" t="str">
        <x:v>GSB</x:v>
      </x:c>
      <x:c r="M1" s="4" t="str">
        <x:v>基线硬门槛</x:v>
      </x:c>
      <x:c r="N1" s="4" t="str">
        <x:v>候选硬门槛</x:v>
      </x:c>
      <x:c r="O1" s="4" t="str">
        <x:v>规则编号</x:v>
      </x:c>
      <x:c r="P1" s="4" t="str">
        <x:v>输出证据</x:v>
      </x:c>
      <x:c r="Q1" s="4" t="str">
        <x:v>样本问题</x:v>
      </x:c>
      <x:c r="R1" s="4" t="str">
        <x:v>评测状态</x:v>
      </x:c>
    </x:row>
    <x:row r="2" ht="28" customHeight="1">
      <x:c r="A2" s="1"/>
      <x:c r="B2" s="1"/>
      <x:c r="C2" s="1"/>
      <x:c r="D2" s="1"/>
      <x:c r="E2" s="1"/>
      <x:c r="F2" s="1"/>
      <x:c r="G2" s="1"/>
      <x:c r="H2" s="6"/>
      <x:c r="I2" s="6"/>
      <x:c r="J2" s="1"/>
      <x:c r="K2" s="1"/>
      <x:c r="L2" s="1"/>
      <x:c r="M2" s="1"/>
      <x:c r="N2" s="1"/>
      <x:c r="O2" s="1"/>
      <x:c r="P2" s="6"/>
      <x:c r="Q2" s="1"/>
      <x:c r="R2" s="1"/>
    </x:row>
    <x:row r="3" ht="28" customHeight="1">
      <x:c r="A3" s="5"/>
      <x:c r="B3" s="5"/>
      <x:c r="C3" s="5"/>
      <x:c r="D3" s="5"/>
      <x:c r="E3" s="5"/>
      <x:c r="F3" s="5"/>
      <x:c r="G3" s="5"/>
      <x:c r="H3" s="7"/>
      <x:c r="I3" s="7"/>
      <x:c r="J3" s="5"/>
      <x:c r="K3" s="5"/>
      <x:c r="L3" s="5"/>
      <x:c r="M3" s="5"/>
      <x:c r="N3" s="5"/>
      <x:c r="O3" s="5"/>
      <x:c r="P3" s="7"/>
      <x:c r="Q3" s="5"/>
      <x:c r="R3" s="5"/>
    </x:row>
    <x:row r="4" ht="28" customHeight="1">
      <x:c r="A4" s="1"/>
      <x:c r="B4" s="1"/>
      <x:c r="C4" s="1"/>
      <x:c r="D4" s="1"/>
      <x:c r="E4" s="1"/>
      <x:c r="F4" s="1"/>
      <x:c r="G4" s="1"/>
      <x:c r="H4" s="6"/>
      <x:c r="I4" s="6"/>
      <x:c r="J4" s="1"/>
      <x:c r="K4" s="1"/>
      <x:c r="L4" s="1"/>
      <x:c r="M4" s="1"/>
      <x:c r="N4" s="1"/>
      <x:c r="O4" s="1"/>
      <x:c r="P4" s="6"/>
      <x:c r="Q4" s="1"/>
      <x:c r="R4" s="1"/>
    </x:row>
    <x:row r="5" ht="28" customHeight="1">
      <x:c r="A5" s="5"/>
      <x:c r="B5" s="5"/>
      <x:c r="C5" s="5"/>
      <x:c r="D5" s="5"/>
      <x:c r="E5" s="5"/>
      <x:c r="F5" s="5"/>
      <x:c r="G5" s="5"/>
      <x:c r="H5" s="7"/>
      <x:c r="I5" s="7"/>
      <x:c r="J5" s="5"/>
      <x:c r="K5" s="5"/>
      <x:c r="L5" s="5"/>
      <x:c r="M5" s="5"/>
      <x:c r="N5" s="5"/>
      <x:c r="O5" s="5"/>
      <x:c r="P5" s="7"/>
      <x:c r="Q5" s="5"/>
      <x:c r="R5" s="5"/>
    </x:row>
    <x:row r="6" ht="28" customHeight="1">
      <x:c r="A6" s="1"/>
      <x:c r="B6" s="1"/>
      <x:c r="C6" s="1"/>
      <x:c r="D6" s="1"/>
      <x:c r="E6" s="1"/>
      <x:c r="F6" s="1"/>
      <x:c r="G6" s="1"/>
      <x:c r="H6" s="6"/>
      <x:c r="I6" s="6"/>
      <x:c r="J6" s="1"/>
      <x:c r="K6" s="1"/>
      <x:c r="L6" s="1"/>
      <x:c r="M6" s="1"/>
      <x:c r="N6" s="1"/>
      <x:c r="O6" s="1"/>
      <x:c r="P6" s="6"/>
      <x:c r="Q6" s="1"/>
      <x:c r="R6" s="1"/>
    </x:row>
    <x:row r="7" ht="28" customHeight="1">
      <x:c r="A7" s="5"/>
      <x:c r="B7" s="5"/>
      <x:c r="C7" s="5"/>
      <x:c r="D7" s="5"/>
      <x:c r="E7" s="5"/>
      <x:c r="F7" s="5"/>
      <x:c r="G7" s="5"/>
      <x:c r="H7" s="7"/>
      <x:c r="I7" s="7"/>
      <x:c r="J7" s="5"/>
      <x:c r="K7" s="5"/>
      <x:c r="L7" s="5"/>
      <x:c r="M7" s="5"/>
      <x:c r="N7" s="5"/>
      <x:c r="O7" s="5"/>
      <x:c r="P7" s="7"/>
      <x:c r="Q7" s="5"/>
      <x:c r="R7" s="5"/>
    </x:row>
    <x:row r="8" ht="28" customHeight="1">
      <x:c r="A8" s="1"/>
      <x:c r="B8" s="1"/>
      <x:c r="C8" s="1"/>
      <x:c r="D8" s="1"/>
      <x:c r="E8" s="1"/>
      <x:c r="F8" s="1"/>
      <x:c r="G8" s="1"/>
      <x:c r="H8" s="6"/>
      <x:c r="I8" s="6"/>
      <x:c r="J8" s="1"/>
      <x:c r="K8" s="1"/>
      <x:c r="L8" s="1"/>
      <x:c r="M8" s="1"/>
      <x:c r="N8" s="1"/>
      <x:c r="O8" s="1"/>
      <x:c r="P8" s="6"/>
      <x:c r="Q8" s="1"/>
      <x:c r="R8" s="1"/>
    </x:row>
    <x:row r="9" ht="28" customHeight="1">
      <x:c r="A9" s="5"/>
      <x:c r="B9" s="5"/>
      <x:c r="C9" s="5"/>
      <x:c r="D9" s="5"/>
      <x:c r="E9" s="5"/>
      <x:c r="F9" s="5"/>
      <x:c r="G9" s="5"/>
      <x:c r="H9" s="7"/>
      <x:c r="I9" s="7"/>
      <x:c r="J9" s="5"/>
      <x:c r="K9" s="5"/>
      <x:c r="L9" s="5"/>
      <x:c r="M9" s="5"/>
      <x:c r="N9" s="5"/>
      <x:c r="O9" s="5"/>
      <x:c r="P9" s="7"/>
      <x:c r="Q9" s="5"/>
      <x:c r="R9" s="5"/>
    </x:row>
    <x:row r="10" ht="28" customHeight="1">
      <x:c r="A10" s="1"/>
      <x:c r="B10" s="1"/>
      <x:c r="C10" s="1"/>
      <x:c r="D10" s="1"/>
      <x:c r="E10" s="1"/>
      <x:c r="F10" s="1"/>
      <x:c r="G10" s="1"/>
      <x:c r="H10" s="6"/>
      <x:c r="I10" s="6"/>
      <x:c r="J10" s="1"/>
      <x:c r="K10" s="1"/>
      <x:c r="L10" s="1"/>
      <x:c r="M10" s="1"/>
      <x:c r="N10" s="1"/>
      <x:c r="O10" s="1"/>
      <x:c r="P10" s="6"/>
      <x:c r="Q10" s="1"/>
      <x:c r="R10" s="1"/>
    </x:row>
    <x:row r="11" ht="28" customHeight="1">
      <x:c r="A11" s="5"/>
      <x:c r="B11" s="5"/>
      <x:c r="C11" s="5"/>
      <x:c r="D11" s="5"/>
      <x:c r="E11" s="5"/>
      <x:c r="F11" s="5"/>
      <x:c r="G11" s="5"/>
      <x:c r="H11" s="7"/>
      <x:c r="I11" s="7"/>
      <x:c r="J11" s="5"/>
      <x:c r="K11" s="5"/>
      <x:c r="L11" s="5"/>
      <x:c r="M11" s="5"/>
      <x:c r="N11" s="5"/>
      <x:c r="O11" s="5"/>
      <x:c r="P11" s="7"/>
      <x:c r="Q11" s="5"/>
      <x:c r="R11" s="5"/>
    </x:row>
    <x:row r="12" ht="28" customHeight="1">
      <x:c r="A12" s="1"/>
      <x:c r="B12" s="1"/>
      <x:c r="C12" s="1"/>
      <x:c r="D12" s="1"/>
      <x:c r="E12" s="1"/>
      <x:c r="F12" s="1"/>
      <x:c r="G12" s="1"/>
      <x:c r="H12" s="6"/>
      <x:c r="I12" s="6"/>
      <x:c r="J12" s="1"/>
      <x:c r="K12" s="1"/>
      <x:c r="L12" s="1"/>
      <x:c r="M12" s="1"/>
      <x:c r="N12" s="1"/>
      <x:c r="O12" s="1"/>
      <x:c r="P12" s="6"/>
      <x:c r="Q12" s="1"/>
      <x:c r="R12" s="1"/>
    </x:row>
    <x:row r="13" ht="28" customHeight="1">
      <x:c r="A13" s="5"/>
      <x:c r="B13" s="5"/>
      <x:c r="C13" s="5"/>
      <x:c r="D13" s="5"/>
      <x:c r="E13" s="5"/>
      <x:c r="F13" s="5"/>
      <x:c r="G13" s="5"/>
      <x:c r="H13" s="7"/>
      <x:c r="I13" s="7"/>
      <x:c r="J13" s="5"/>
      <x:c r="K13" s="5"/>
      <x:c r="L13" s="5"/>
      <x:c r="M13" s="5"/>
      <x:c r="N13" s="5"/>
      <x:c r="O13" s="5"/>
      <x:c r="P13" s="7"/>
      <x:c r="Q13" s="5"/>
      <x:c r="R13" s="5"/>
    </x:row>
    <x:row r="14" ht="28" customHeight="1">
      <x:c r="A14" s="1"/>
      <x:c r="B14" s="1"/>
      <x:c r="C14" s="1"/>
      <x:c r="D14" s="1"/>
      <x:c r="E14" s="1"/>
      <x:c r="F14" s="1"/>
      <x:c r="G14" s="1"/>
      <x:c r="H14" s="6"/>
      <x:c r="I14" s="6"/>
      <x:c r="J14" s="1"/>
      <x:c r="K14" s="1"/>
      <x:c r="L14" s="1"/>
      <x:c r="M14" s="1"/>
      <x:c r="N14" s="1"/>
      <x:c r="O14" s="1"/>
      <x:c r="P14" s="6"/>
      <x:c r="Q14" s="1"/>
      <x:c r="R14" s="1"/>
    </x:row>
    <x:row r="15" ht="28" customHeight="1">
      <x:c r="A15" s="5"/>
      <x:c r="B15" s="5"/>
      <x:c r="C15" s="5"/>
      <x:c r="D15" s="5"/>
      <x:c r="E15" s="5"/>
      <x:c r="F15" s="5"/>
      <x:c r="G15" s="5"/>
      <x:c r="H15" s="7"/>
      <x:c r="I15" s="7"/>
      <x:c r="J15" s="5"/>
      <x:c r="K15" s="5"/>
      <x:c r="L15" s="5"/>
      <x:c r="M15" s="5"/>
      <x:c r="N15" s="5"/>
      <x:c r="O15" s="5"/>
      <x:c r="P15" s="7"/>
      <x:c r="Q15" s="5"/>
      <x:c r="R15" s="5"/>
    </x:row>
    <x:row r="16" ht="28" customHeight="1">
      <x:c r="A16" s="1"/>
      <x:c r="B16" s="1"/>
      <x:c r="C16" s="1"/>
      <x:c r="D16" s="1"/>
      <x:c r="E16" s="1"/>
      <x:c r="F16" s="1"/>
      <x:c r="G16" s="1"/>
      <x:c r="H16" s="6"/>
      <x:c r="I16" s="6"/>
      <x:c r="J16" s="1"/>
      <x:c r="K16" s="1"/>
      <x:c r="L16" s="1"/>
      <x:c r="M16" s="1"/>
      <x:c r="N16" s="1"/>
      <x:c r="O16" s="1"/>
      <x:c r="P16" s="6"/>
      <x:c r="Q16" s="1"/>
      <x:c r="R16" s="1"/>
    </x:row>
    <x:row r="17" ht="28" customHeight="1">
      <x:c r="A17" s="5"/>
      <x:c r="B17" s="5"/>
      <x:c r="C17" s="5"/>
      <x:c r="D17" s="5"/>
      <x:c r="E17" s="5"/>
      <x:c r="F17" s="5"/>
      <x:c r="G17" s="5"/>
      <x:c r="H17" s="7"/>
      <x:c r="I17" s="7"/>
      <x:c r="J17" s="5"/>
      <x:c r="K17" s="5"/>
      <x:c r="L17" s="5"/>
      <x:c r="M17" s="5"/>
      <x:c r="N17" s="5"/>
      <x:c r="O17" s="5"/>
      <x:c r="P17" s="7"/>
      <x:c r="Q17" s="5"/>
      <x:c r="R17" s="5"/>
    </x:row>
    <x:row r="18" ht="28" customHeight="1">
      <x:c r="A18" s="1"/>
      <x:c r="B18" s="1"/>
      <x:c r="C18" s="1"/>
      <x:c r="D18" s="1"/>
      <x:c r="E18" s="1"/>
      <x:c r="F18" s="1"/>
      <x:c r="G18" s="1"/>
      <x:c r="H18" s="6"/>
      <x:c r="I18" s="6"/>
      <x:c r="J18" s="1"/>
      <x:c r="K18" s="1"/>
      <x:c r="L18" s="1"/>
      <x:c r="M18" s="1"/>
      <x:c r="N18" s="1"/>
      <x:c r="O18" s="1"/>
      <x:c r="P18" s="6"/>
      <x:c r="Q18" s="1"/>
      <x:c r="R18" s="1"/>
    </x:row>
    <x:row r="19" ht="28" customHeight="1">
      <x:c r="A19" s="5"/>
      <x:c r="B19" s="5"/>
      <x:c r="C19" s="5"/>
      <x:c r="D19" s="5"/>
      <x:c r="E19" s="5"/>
      <x:c r="F19" s="5"/>
      <x:c r="G19" s="5"/>
      <x:c r="H19" s="7"/>
      <x:c r="I19" s="7"/>
      <x:c r="J19" s="5"/>
      <x:c r="K19" s="5"/>
      <x:c r="L19" s="5"/>
      <x:c r="M19" s="5"/>
      <x:c r="N19" s="5"/>
      <x:c r="O19" s="5"/>
      <x:c r="P19" s="7"/>
      <x:c r="Q19" s="5"/>
      <x:c r="R19" s="5"/>
    </x:row>
    <x:row r="20" ht="28" customHeight="1">
      <x:c r="A20" s="1"/>
      <x:c r="B20" s="1"/>
      <x:c r="C20" s="1"/>
      <x:c r="D20" s="1"/>
      <x:c r="E20" s="1"/>
      <x:c r="F20" s="1"/>
      <x:c r="G20" s="1"/>
      <x:c r="H20" s="6"/>
      <x:c r="I20" s="6"/>
      <x:c r="J20" s="1"/>
      <x:c r="K20" s="1"/>
      <x:c r="L20" s="1"/>
      <x:c r="M20" s="1"/>
      <x:c r="N20" s="1"/>
      <x:c r="O20" s="1"/>
      <x:c r="P20" s="6"/>
      <x:c r="Q20" s="1"/>
      <x:c r="R20" s="1"/>
    </x:row>
    <x:row r="21" ht="28" customHeight="1">
      <x:c r="A21" s="5"/>
      <x:c r="B21" s="5"/>
      <x:c r="C21" s="5"/>
      <x:c r="D21" s="5"/>
      <x:c r="E21" s="5"/>
      <x:c r="F21" s="5"/>
      <x:c r="G21" s="5"/>
      <x:c r="H21" s="7"/>
      <x:c r="I21" s="7"/>
      <x:c r="J21" s="5"/>
      <x:c r="K21" s="5"/>
      <x:c r="L21" s="5"/>
      <x:c r="M21" s="5"/>
      <x:c r="N21" s="5"/>
      <x:c r="O21" s="5"/>
      <x:c r="P21" s="7"/>
      <x:c r="Q21" s="5"/>
      <x:c r="R21" s="5"/>
    </x:row>
    <x:row r="22" ht="28" customHeight="1">
      <x:c r="A22" s="1"/>
      <x:c r="B22" s="1"/>
      <x:c r="C22" s="1"/>
      <x:c r="D22" s="1"/>
      <x:c r="E22" s="1"/>
      <x:c r="F22" s="1"/>
      <x:c r="G22" s="1"/>
      <x:c r="H22" s="6"/>
      <x:c r="I22" s="6"/>
      <x:c r="J22" s="1"/>
      <x:c r="K22" s="1"/>
      <x:c r="L22" s="1"/>
      <x:c r="M22" s="1"/>
      <x:c r="N22" s="1"/>
      <x:c r="O22" s="1"/>
      <x:c r="P22" s="6"/>
      <x:c r="Q22" s="1"/>
      <x:c r="R22" s="1"/>
    </x:row>
    <x:row r="23" ht="28" customHeight="1">
      <x:c r="A23" s="5"/>
      <x:c r="B23" s="5"/>
      <x:c r="C23" s="5"/>
      <x:c r="D23" s="5"/>
      <x:c r="E23" s="5"/>
      <x:c r="F23" s="5"/>
      <x:c r="G23" s="5"/>
      <x:c r="H23" s="7"/>
      <x:c r="I23" s="7"/>
      <x:c r="J23" s="5"/>
      <x:c r="K23" s="5"/>
      <x:c r="L23" s="5"/>
      <x:c r="M23" s="5"/>
      <x:c r="N23" s="5"/>
      <x:c r="O23" s="5"/>
      <x:c r="P23" s="7"/>
      <x:c r="Q23" s="5"/>
      <x:c r="R23" s="5"/>
    </x:row>
    <x:row r="24" ht="28" customHeight="1">
      <x:c r="A24" s="1"/>
      <x:c r="B24" s="1"/>
      <x:c r="C24" s="1"/>
      <x:c r="D24" s="1"/>
      <x:c r="E24" s="1"/>
      <x:c r="F24" s="1"/>
      <x:c r="G24" s="1"/>
      <x:c r="H24" s="6"/>
      <x:c r="I24" s="6"/>
      <x:c r="J24" s="1"/>
      <x:c r="K24" s="1"/>
      <x:c r="L24" s="1"/>
      <x:c r="M24" s="1"/>
      <x:c r="N24" s="1"/>
      <x:c r="O24" s="1"/>
      <x:c r="P24" s="6"/>
      <x:c r="Q24" s="1"/>
      <x:c r="R24" s="1"/>
    </x:row>
    <x:row r="25" ht="28" customHeight="1">
      <x:c r="A25" s="5"/>
      <x:c r="B25" s="5"/>
      <x:c r="C25" s="5"/>
      <x:c r="D25" s="5"/>
      <x:c r="E25" s="5"/>
      <x:c r="F25" s="5"/>
      <x:c r="G25" s="5"/>
      <x:c r="H25" s="7"/>
      <x:c r="I25" s="7"/>
      <x:c r="J25" s="5"/>
      <x:c r="K25" s="5"/>
      <x:c r="L25" s="5"/>
      <x:c r="M25" s="5"/>
      <x:c r="N25" s="5"/>
      <x:c r="O25" s="5"/>
      <x:c r="P25" s="7"/>
      <x:c r="Q25" s="5"/>
      <x:c r="R25" s="5"/>
    </x:row>
    <x:row r="26" ht="28" customHeight="1">
      <x:c r="A26" s="1"/>
      <x:c r="B26" s="1"/>
      <x:c r="C26" s="1"/>
      <x:c r="D26" s="1"/>
      <x:c r="E26" s="1"/>
      <x:c r="F26" s="1"/>
      <x:c r="G26" s="1"/>
      <x:c r="H26" s="6"/>
      <x:c r="I26" s="6"/>
      <x:c r="J26" s="1"/>
      <x:c r="K26" s="1"/>
      <x:c r="L26" s="1"/>
      <x:c r="M26" s="1"/>
      <x:c r="N26" s="1"/>
      <x:c r="O26" s="1"/>
      <x:c r="P26" s="6"/>
      <x:c r="Q26" s="1"/>
      <x:c r="R26" s="1"/>
    </x:row>
    <x:row r="27" ht="28" customHeight="1">
      <x:c r="A27" s="5"/>
      <x:c r="B27" s="5"/>
      <x:c r="C27" s="5"/>
      <x:c r="D27" s="5"/>
      <x:c r="E27" s="5"/>
      <x:c r="F27" s="5"/>
      <x:c r="G27" s="5"/>
      <x:c r="H27" s="7"/>
      <x:c r="I27" s="7"/>
      <x:c r="J27" s="5"/>
      <x:c r="K27" s="5"/>
      <x:c r="L27" s="5"/>
      <x:c r="M27" s="5"/>
      <x:c r="N27" s="5"/>
      <x:c r="O27" s="5"/>
      <x:c r="P27" s="7"/>
      <x:c r="Q27" s="5"/>
      <x:c r="R27" s="5"/>
    </x:row>
    <x:row r="28" ht="28" customHeight="1">
      <x:c r="A28" s="1"/>
      <x:c r="B28" s="1"/>
      <x:c r="C28" s="1"/>
      <x:c r="D28" s="1"/>
      <x:c r="E28" s="1"/>
      <x:c r="F28" s="1"/>
      <x:c r="G28" s="1"/>
      <x:c r="H28" s="6"/>
      <x:c r="I28" s="6"/>
      <x:c r="J28" s="1"/>
      <x:c r="K28" s="1"/>
      <x:c r="L28" s="1"/>
      <x:c r="M28" s="1"/>
      <x:c r="N28" s="1"/>
      <x:c r="O28" s="1"/>
      <x:c r="P28" s="6"/>
      <x:c r="Q28" s="1"/>
      <x:c r="R28" s="1"/>
    </x:row>
    <x:row r="29" ht="28" customHeight="1">
      <x:c r="A29" s="5"/>
      <x:c r="B29" s="5"/>
      <x:c r="C29" s="5"/>
      <x:c r="D29" s="5"/>
      <x:c r="E29" s="5"/>
      <x:c r="F29" s="5"/>
      <x:c r="G29" s="5"/>
      <x:c r="H29" s="7"/>
      <x:c r="I29" s="7"/>
      <x:c r="J29" s="5"/>
      <x:c r="K29" s="5"/>
      <x:c r="L29" s="5"/>
      <x:c r="M29" s="5"/>
      <x:c r="N29" s="5"/>
      <x:c r="O29" s="5"/>
      <x:c r="P29" s="7"/>
      <x:c r="Q29" s="5"/>
      <x:c r="R29" s="5"/>
    </x:row>
    <x:row r="30" ht="28" customHeight="1">
      <x:c r="A30" s="1"/>
      <x:c r="B30" s="1"/>
      <x:c r="C30" s="1"/>
      <x:c r="D30" s="1"/>
      <x:c r="E30" s="1"/>
      <x:c r="F30" s="1"/>
      <x:c r="G30" s="1"/>
      <x:c r="H30" s="6"/>
      <x:c r="I30" s="6"/>
      <x:c r="J30" s="1"/>
      <x:c r="K30" s="1"/>
      <x:c r="L30" s="1"/>
      <x:c r="M30" s="1"/>
      <x:c r="N30" s="1"/>
      <x:c r="O30" s="1"/>
      <x:c r="P30" s="6"/>
      <x:c r="Q30" s="1"/>
      <x:c r="R30" s="1"/>
    </x:row>
    <x:row r="31" ht="28" customHeight="1">
      <x:c r="A31" s="5"/>
      <x:c r="B31" s="5"/>
      <x:c r="C31" s="5"/>
      <x:c r="D31" s="5"/>
      <x:c r="E31" s="5"/>
      <x:c r="F31" s="5"/>
      <x:c r="G31" s="5"/>
      <x:c r="H31" s="7"/>
      <x:c r="I31" s="7"/>
      <x:c r="J31" s="5"/>
      <x:c r="K31" s="5"/>
      <x:c r="L31" s="5"/>
      <x:c r="M31" s="5"/>
      <x:c r="N31" s="5"/>
      <x:c r="O31" s="5"/>
      <x:c r="P31" s="7"/>
      <x:c r="Q31" s="5"/>
      <x:c r="R31" s="5"/>
    </x:row>
    <x:row r="32" ht="28" customHeight="1">
      <x:c r="A32" s="1"/>
      <x:c r="B32" s="1"/>
      <x:c r="C32" s="1"/>
      <x:c r="D32" s="1"/>
      <x:c r="E32" s="1"/>
      <x:c r="F32" s="1"/>
      <x:c r="G32" s="1"/>
      <x:c r="H32" s="6"/>
      <x:c r="I32" s="6"/>
      <x:c r="J32" s="1"/>
      <x:c r="K32" s="1"/>
      <x:c r="L32" s="1"/>
      <x:c r="M32" s="1"/>
      <x:c r="N32" s="1"/>
      <x:c r="O32" s="1"/>
      <x:c r="P32" s="6"/>
      <x:c r="Q32" s="1"/>
      <x:c r="R32" s="1"/>
    </x:row>
    <x:row r="33" ht="28" customHeight="1">
      <x:c r="A33" s="5"/>
      <x:c r="B33" s="5"/>
      <x:c r="C33" s="5"/>
      <x:c r="D33" s="5"/>
      <x:c r="E33" s="5"/>
      <x:c r="F33" s="5"/>
      <x:c r="G33" s="5"/>
      <x:c r="H33" s="7"/>
      <x:c r="I33" s="7"/>
      <x:c r="J33" s="5"/>
      <x:c r="K33" s="5"/>
      <x:c r="L33" s="5"/>
      <x:c r="M33" s="5"/>
      <x:c r="N33" s="5"/>
      <x:c r="O33" s="5"/>
      <x:c r="P33" s="7"/>
      <x:c r="Q33" s="5"/>
      <x:c r="R33" s="5"/>
    </x:row>
    <x:row r="34" ht="28" customHeight="1">
      <x:c r="A34" s="1"/>
      <x:c r="B34" s="1"/>
      <x:c r="C34" s="1"/>
      <x:c r="D34" s="1"/>
      <x:c r="E34" s="1"/>
      <x:c r="F34" s="1"/>
      <x:c r="G34" s="1"/>
      <x:c r="H34" s="6"/>
      <x:c r="I34" s="6"/>
      <x:c r="J34" s="1"/>
      <x:c r="K34" s="1"/>
      <x:c r="L34" s="1"/>
      <x:c r="M34" s="1"/>
      <x:c r="N34" s="1"/>
      <x:c r="O34" s="1"/>
      <x:c r="P34" s="6"/>
      <x:c r="Q34" s="1"/>
      <x:c r="R34" s="1"/>
    </x:row>
    <x:row r="35" ht="28" customHeight="1">
      <x:c r="A35" s="5"/>
      <x:c r="B35" s="5"/>
      <x:c r="C35" s="5"/>
      <x:c r="D35" s="5"/>
      <x:c r="E35" s="5"/>
      <x:c r="F35" s="5"/>
      <x:c r="G35" s="5"/>
      <x:c r="H35" s="7"/>
      <x:c r="I35" s="7"/>
      <x:c r="J35" s="5"/>
      <x:c r="K35" s="5"/>
      <x:c r="L35" s="5"/>
      <x:c r="M35" s="5"/>
      <x:c r="N35" s="5"/>
      <x:c r="O35" s="5"/>
      <x:c r="P35" s="7"/>
      <x:c r="Q35" s="5"/>
      <x:c r="R35" s="5"/>
    </x:row>
    <x:row r="36" ht="28" customHeight="1">
      <x:c r="A36" s="1"/>
      <x:c r="B36" s="1"/>
      <x:c r="C36" s="1"/>
      <x:c r="D36" s="1"/>
      <x:c r="E36" s="1"/>
      <x:c r="F36" s="1"/>
      <x:c r="G36" s="1"/>
      <x:c r="H36" s="6"/>
      <x:c r="I36" s="6"/>
      <x:c r="J36" s="1"/>
      <x:c r="K36" s="1"/>
      <x:c r="L36" s="1"/>
      <x:c r="M36" s="1"/>
      <x:c r="N36" s="1"/>
      <x:c r="O36" s="1"/>
      <x:c r="P36" s="6"/>
      <x:c r="Q36" s="1"/>
      <x:c r="R36" s="1"/>
    </x:row>
    <x:row r="37" ht="28" customHeight="1">
      <x:c r="A37" s="5"/>
      <x:c r="B37" s="5"/>
      <x:c r="C37" s="5"/>
      <x:c r="D37" s="5"/>
      <x:c r="E37" s="5"/>
      <x:c r="F37" s="5"/>
      <x:c r="G37" s="5"/>
      <x:c r="H37" s="7"/>
      <x:c r="I37" s="7"/>
      <x:c r="J37" s="5"/>
      <x:c r="K37" s="5"/>
      <x:c r="L37" s="5"/>
      <x:c r="M37" s="5"/>
      <x:c r="N37" s="5"/>
      <x:c r="O37" s="5"/>
      <x:c r="P37" s="7"/>
      <x:c r="Q37" s="5"/>
      <x:c r="R37" s="5"/>
    </x:row>
    <x:row r="38" ht="28" customHeight="1">
      <x:c r="A38" s="1"/>
      <x:c r="B38" s="1"/>
      <x:c r="C38" s="1"/>
      <x:c r="D38" s="1"/>
      <x:c r="E38" s="1"/>
      <x:c r="F38" s="1"/>
      <x:c r="G38" s="1"/>
      <x:c r="H38" s="6"/>
      <x:c r="I38" s="6"/>
      <x:c r="J38" s="1"/>
      <x:c r="K38" s="1"/>
      <x:c r="L38" s="1"/>
      <x:c r="M38" s="1"/>
      <x:c r="N38" s="1"/>
      <x:c r="O38" s="1"/>
      <x:c r="P38" s="6"/>
      <x:c r="Q38" s="1"/>
      <x:c r="R38" s="1"/>
    </x:row>
    <x:row r="39" ht="28" customHeight="1">
      <x:c r="A39" s="5"/>
      <x:c r="B39" s="5"/>
      <x:c r="C39" s="5"/>
      <x:c r="D39" s="5"/>
      <x:c r="E39" s="5"/>
      <x:c r="F39" s="5"/>
      <x:c r="G39" s="5"/>
      <x:c r="H39" s="7"/>
      <x:c r="I39" s="7"/>
      <x:c r="J39" s="5"/>
      <x:c r="K39" s="5"/>
      <x:c r="L39" s="5"/>
      <x:c r="M39" s="5"/>
      <x:c r="N39" s="5"/>
      <x:c r="O39" s="5"/>
      <x:c r="P39" s="7"/>
      <x:c r="Q39" s="5"/>
      <x:c r="R39" s="5"/>
    </x:row>
    <x:row r="40" ht="28" customHeight="1">
      <x:c r="A40" s="1"/>
      <x:c r="B40" s="1"/>
      <x:c r="C40" s="1"/>
      <x:c r="D40" s="1"/>
      <x:c r="E40" s="1"/>
      <x:c r="F40" s="1"/>
      <x:c r="G40" s="1"/>
      <x:c r="H40" s="6"/>
      <x:c r="I40" s="6"/>
      <x:c r="J40" s="1"/>
      <x:c r="K40" s="1"/>
      <x:c r="L40" s="1"/>
      <x:c r="M40" s="1"/>
      <x:c r="N40" s="1"/>
      <x:c r="O40" s="1"/>
      <x:c r="P40" s="6"/>
      <x:c r="Q40" s="1"/>
      <x:c r="R40" s="1"/>
    </x:row>
    <x:row r="41" ht="28" customHeight="1">
      <x:c r="A41" s="5"/>
      <x:c r="B41" s="5"/>
      <x:c r="C41" s="5"/>
      <x:c r="D41" s="5"/>
      <x:c r="E41" s="5"/>
      <x:c r="F41" s="5"/>
      <x:c r="G41" s="5"/>
      <x:c r="H41" s="7"/>
      <x:c r="I41" s="7"/>
      <x:c r="J41" s="5"/>
      <x:c r="K41" s="5"/>
      <x:c r="L41" s="5"/>
      <x:c r="M41" s="5"/>
      <x:c r="N41" s="5"/>
      <x:c r="O41" s="5"/>
      <x:c r="P41" s="7"/>
      <x:c r="Q41" s="5"/>
      <x:c r="R41" s="5"/>
    </x:row>
    <x:row r="42" ht="28" customHeight="1">
      <x:c r="A42" s="1"/>
      <x:c r="B42" s="1"/>
      <x:c r="C42" s="1"/>
      <x:c r="D42" s="1"/>
      <x:c r="E42" s="1"/>
      <x:c r="F42" s="1"/>
      <x:c r="G42" s="1"/>
      <x:c r="H42" s="6"/>
      <x:c r="I42" s="6"/>
      <x:c r="J42" s="1"/>
      <x:c r="K42" s="1"/>
      <x:c r="L42" s="1"/>
      <x:c r="M42" s="1"/>
      <x:c r="N42" s="1"/>
      <x:c r="O42" s="1"/>
      <x:c r="P42" s="6"/>
      <x:c r="Q42" s="1"/>
      <x:c r="R42" s="1"/>
    </x:row>
    <x:row r="43" ht="28" customHeight="1">
      <x:c r="A43" s="5"/>
      <x:c r="B43" s="5"/>
      <x:c r="C43" s="5"/>
      <x:c r="D43" s="5"/>
      <x:c r="E43" s="5"/>
      <x:c r="F43" s="5"/>
      <x:c r="G43" s="5"/>
      <x:c r="H43" s="7"/>
      <x:c r="I43" s="7"/>
      <x:c r="J43" s="5"/>
      <x:c r="K43" s="5"/>
      <x:c r="L43" s="5"/>
      <x:c r="M43" s="5"/>
      <x:c r="N43" s="5"/>
      <x:c r="O43" s="5"/>
      <x:c r="P43" s="7"/>
      <x:c r="Q43" s="5"/>
      <x:c r="R43" s="5"/>
    </x:row>
    <x:row r="44" ht="28" customHeight="1">
      <x:c r="A44" s="1"/>
      <x:c r="B44" s="1"/>
      <x:c r="C44" s="1"/>
      <x:c r="D44" s="1"/>
      <x:c r="E44" s="1"/>
      <x:c r="F44" s="1"/>
      <x:c r="G44" s="1"/>
      <x:c r="H44" s="6"/>
      <x:c r="I44" s="6"/>
      <x:c r="J44" s="1"/>
      <x:c r="K44" s="1"/>
      <x:c r="L44" s="1"/>
      <x:c r="M44" s="1"/>
      <x:c r="N44" s="1"/>
      <x:c r="O44" s="1"/>
      <x:c r="P44" s="6"/>
      <x:c r="Q44" s="1"/>
      <x:c r="R44" s="1"/>
    </x:row>
    <x:row r="45" ht="28" customHeight="1">
      <x:c r="A45" s="5"/>
      <x:c r="B45" s="5"/>
      <x:c r="C45" s="5"/>
      <x:c r="D45" s="5"/>
      <x:c r="E45" s="5"/>
      <x:c r="F45" s="5"/>
      <x:c r="G45" s="5"/>
      <x:c r="H45" s="7"/>
      <x:c r="I45" s="7"/>
      <x:c r="J45" s="5"/>
      <x:c r="K45" s="5"/>
      <x:c r="L45" s="5"/>
      <x:c r="M45" s="5"/>
      <x:c r="N45" s="5"/>
      <x:c r="O45" s="5"/>
      <x:c r="P45" s="7"/>
      <x:c r="Q45" s="5"/>
      <x:c r="R45" s="5"/>
    </x:row>
    <x:row r="46" ht="28" customHeight="1">
      <x:c r="A46" s="1"/>
      <x:c r="B46" s="1"/>
      <x:c r="C46" s="1"/>
      <x:c r="D46" s="1"/>
      <x:c r="E46" s="1"/>
      <x:c r="F46" s="1"/>
      <x:c r="G46" s="1"/>
      <x:c r="H46" s="6"/>
      <x:c r="I46" s="6"/>
      <x:c r="J46" s="1"/>
      <x:c r="K46" s="1"/>
      <x:c r="L46" s="1"/>
      <x:c r="M46" s="1"/>
      <x:c r="N46" s="1"/>
      <x:c r="O46" s="1"/>
      <x:c r="P46" s="6"/>
      <x:c r="Q46" s="1"/>
      <x:c r="R46" s="1"/>
    </x:row>
    <x:row r="47" ht="28" customHeight="1">
      <x:c r="A47" s="5"/>
      <x:c r="B47" s="5"/>
      <x:c r="C47" s="5"/>
      <x:c r="D47" s="5"/>
      <x:c r="E47" s="5"/>
      <x:c r="F47" s="5"/>
      <x:c r="G47" s="5"/>
      <x:c r="H47" s="7"/>
      <x:c r="I47" s="7"/>
      <x:c r="J47" s="5"/>
      <x:c r="K47" s="5"/>
      <x:c r="L47" s="5"/>
      <x:c r="M47" s="5"/>
      <x:c r="N47" s="5"/>
      <x:c r="O47" s="5"/>
      <x:c r="P47" s="7"/>
      <x:c r="Q47" s="5"/>
      <x:c r="R47" s="5"/>
    </x:row>
    <x:row r="48" ht="28" customHeight="1">
      <x:c r="A48" s="1"/>
      <x:c r="B48" s="1"/>
      <x:c r="C48" s="1"/>
      <x:c r="D48" s="1"/>
      <x:c r="E48" s="1"/>
      <x:c r="F48" s="1"/>
      <x:c r="G48" s="1"/>
      <x:c r="H48" s="6"/>
      <x:c r="I48" s="6"/>
      <x:c r="J48" s="1"/>
      <x:c r="K48" s="1"/>
      <x:c r="L48" s="1"/>
      <x:c r="M48" s="1"/>
      <x:c r="N48" s="1"/>
      <x:c r="O48" s="1"/>
      <x:c r="P48" s="6"/>
      <x:c r="Q48" s="1"/>
      <x:c r="R48" s="1"/>
    </x:row>
    <x:row r="49" ht="28" customHeight="1">
      <x:c r="A49" s="5"/>
      <x:c r="B49" s="5"/>
      <x:c r="C49" s="5"/>
      <x:c r="D49" s="5"/>
      <x:c r="E49" s="5"/>
      <x:c r="F49" s="5"/>
      <x:c r="G49" s="5"/>
      <x:c r="H49" s="7"/>
      <x:c r="I49" s="7"/>
      <x:c r="J49" s="5"/>
      <x:c r="K49" s="5"/>
      <x:c r="L49" s="5"/>
      <x:c r="M49" s="5"/>
      <x:c r="N49" s="5"/>
      <x:c r="O49" s="5"/>
      <x:c r="P49" s="7"/>
      <x:c r="Q49" s="5"/>
      <x:c r="R49" s="5"/>
    </x:row>
    <x:row r="50" ht="28" customHeight="1">
      <x:c r="A50" s="1"/>
      <x:c r="B50" s="1"/>
      <x:c r="C50" s="1"/>
      <x:c r="D50" s="1"/>
      <x:c r="E50" s="1"/>
      <x:c r="F50" s="1"/>
      <x:c r="G50" s="1"/>
      <x:c r="H50" s="6"/>
      <x:c r="I50" s="6"/>
      <x:c r="J50" s="1"/>
      <x:c r="K50" s="1"/>
      <x:c r="L50" s="1"/>
      <x:c r="M50" s="1"/>
      <x:c r="N50" s="1"/>
      <x:c r="O50" s="1"/>
      <x:c r="P50" s="6"/>
      <x:c r="Q50" s="1"/>
      <x:c r="R50" s="1"/>
    </x:row>
    <x:row r="51" ht="28" customHeight="1">
      <x:c r="A51" s="5"/>
      <x:c r="B51" s="5"/>
      <x:c r="C51" s="5"/>
      <x:c r="D51" s="5"/>
      <x:c r="E51" s="5"/>
      <x:c r="F51" s="5"/>
      <x:c r="G51" s="5"/>
      <x:c r="H51" s="7"/>
      <x:c r="I51" s="7"/>
      <x:c r="J51" s="5"/>
      <x:c r="K51" s="5"/>
      <x:c r="L51" s="5"/>
      <x:c r="M51" s="5"/>
      <x:c r="N51" s="5"/>
      <x:c r="O51" s="5"/>
      <x:c r="P51" s="7"/>
      <x:c r="Q51" s="5"/>
      <x:c r="R51" s="5"/>
    </x:row>
    <x:row r="52" ht="28" customHeight="1">
      <x:c r="A52" s="1"/>
      <x:c r="B52" s="1"/>
      <x:c r="C52" s="1"/>
      <x:c r="D52" s="1"/>
      <x:c r="E52" s="1"/>
      <x:c r="F52" s="1"/>
      <x:c r="G52" s="1"/>
      <x:c r="H52" s="6"/>
      <x:c r="I52" s="6"/>
      <x:c r="J52" s="1"/>
      <x:c r="K52" s="1"/>
      <x:c r="L52" s="1"/>
      <x:c r="M52" s="1"/>
      <x:c r="N52" s="1"/>
      <x:c r="O52" s="1"/>
      <x:c r="P52" s="6"/>
      <x:c r="Q52" s="1"/>
      <x:c r="R52" s="1"/>
    </x:row>
    <x:row r="53" ht="28" customHeight="1">
      <x:c r="A53" s="5"/>
      <x:c r="B53" s="5"/>
      <x:c r="C53" s="5"/>
      <x:c r="D53" s="5"/>
      <x:c r="E53" s="5"/>
      <x:c r="F53" s="5"/>
      <x:c r="G53" s="5"/>
      <x:c r="H53" s="7"/>
      <x:c r="I53" s="7"/>
      <x:c r="J53" s="5"/>
      <x:c r="K53" s="5"/>
      <x:c r="L53" s="5"/>
      <x:c r="M53" s="5"/>
      <x:c r="N53" s="5"/>
      <x:c r="O53" s="5"/>
      <x:c r="P53" s="7"/>
      <x:c r="Q53" s="5"/>
      <x:c r="R53" s="5"/>
    </x:row>
    <x:row r="54" ht="28" customHeight="1">
      <x:c r="A54" s="1"/>
      <x:c r="B54" s="1"/>
      <x:c r="C54" s="1"/>
      <x:c r="D54" s="1"/>
      <x:c r="E54" s="1"/>
      <x:c r="F54" s="1"/>
      <x:c r="G54" s="1"/>
      <x:c r="H54" s="6"/>
      <x:c r="I54" s="6"/>
      <x:c r="J54" s="1"/>
      <x:c r="K54" s="1"/>
      <x:c r="L54" s="1"/>
      <x:c r="M54" s="1"/>
      <x:c r="N54" s="1"/>
      <x:c r="O54" s="1"/>
      <x:c r="P54" s="6"/>
      <x:c r="Q54" s="1"/>
      <x:c r="R54" s="1"/>
    </x:row>
    <x:row r="55" ht="28" customHeight="1">
      <x:c r="A55" s="5"/>
      <x:c r="B55" s="5"/>
      <x:c r="C55" s="5"/>
      <x:c r="D55" s="5"/>
      <x:c r="E55" s="5"/>
      <x:c r="F55" s="5"/>
      <x:c r="G55" s="5"/>
      <x:c r="H55" s="7"/>
      <x:c r="I55" s="7"/>
      <x:c r="J55" s="5"/>
      <x:c r="K55" s="5"/>
      <x:c r="L55" s="5"/>
      <x:c r="M55" s="5"/>
      <x:c r="N55" s="5"/>
      <x:c r="O55" s="5"/>
      <x:c r="P55" s="7"/>
      <x:c r="Q55" s="5"/>
      <x:c r="R55" s="5"/>
    </x:row>
    <x:row r="56" ht="28" customHeight="1">
      <x:c r="A56" s="1"/>
      <x:c r="B56" s="1"/>
      <x:c r="C56" s="1"/>
      <x:c r="D56" s="1"/>
      <x:c r="E56" s="1"/>
      <x:c r="F56" s="1"/>
      <x:c r="G56" s="1"/>
      <x:c r="H56" s="6"/>
      <x:c r="I56" s="6"/>
      <x:c r="J56" s="1"/>
      <x:c r="K56" s="1"/>
      <x:c r="L56" s="1"/>
      <x:c r="M56" s="1"/>
      <x:c r="N56" s="1"/>
      <x:c r="O56" s="1"/>
      <x:c r="P56" s="6"/>
      <x:c r="Q56" s="1"/>
      <x:c r="R56" s="1"/>
    </x:row>
    <x:row r="57" ht="28" customHeight="1">
      <x:c r="A57" s="5"/>
      <x:c r="B57" s="5"/>
      <x:c r="C57" s="5"/>
      <x:c r="D57" s="5"/>
      <x:c r="E57" s="5"/>
      <x:c r="F57" s="5"/>
      <x:c r="G57" s="5"/>
      <x:c r="H57" s="7"/>
      <x:c r="I57" s="7"/>
      <x:c r="J57" s="5"/>
      <x:c r="K57" s="5"/>
      <x:c r="L57" s="5"/>
      <x:c r="M57" s="5"/>
      <x:c r="N57" s="5"/>
      <x:c r="O57" s="5"/>
      <x:c r="P57" s="7"/>
      <x:c r="Q57" s="5"/>
      <x:c r="R57" s="5"/>
    </x:row>
    <x:row r="58" ht="28" customHeight="1">
      <x:c r="A58" s="1"/>
      <x:c r="B58" s="1"/>
      <x:c r="C58" s="1"/>
      <x:c r="D58" s="1"/>
      <x:c r="E58" s="1"/>
      <x:c r="F58" s="1"/>
      <x:c r="G58" s="1"/>
      <x:c r="H58" s="6"/>
      <x:c r="I58" s="6"/>
      <x:c r="J58" s="1"/>
      <x:c r="K58" s="1"/>
      <x:c r="L58" s="1"/>
      <x:c r="M58" s="1"/>
      <x:c r="N58" s="1"/>
      <x:c r="O58" s="1"/>
      <x:c r="P58" s="6"/>
      <x:c r="Q58" s="1"/>
      <x:c r="R58" s="1"/>
    </x:row>
    <x:row r="59" ht="28" customHeight="1">
      <x:c r="A59" s="5"/>
      <x:c r="B59" s="5"/>
      <x:c r="C59" s="5"/>
      <x:c r="D59" s="5"/>
      <x:c r="E59" s="5"/>
      <x:c r="F59" s="5"/>
      <x:c r="G59" s="5"/>
      <x:c r="H59" s="7"/>
      <x:c r="I59" s="7"/>
      <x:c r="J59" s="5"/>
      <x:c r="K59" s="5"/>
      <x:c r="L59" s="5"/>
      <x:c r="M59" s="5"/>
      <x:c r="N59" s="5"/>
      <x:c r="O59" s="5"/>
      <x:c r="P59" s="7"/>
      <x:c r="Q59" s="5"/>
      <x:c r="R59" s="5"/>
    </x:row>
    <x:row r="60" ht="28" customHeight="1">
      <x:c r="A60" s="1"/>
      <x:c r="B60" s="1"/>
      <x:c r="C60" s="1"/>
      <x:c r="D60" s="1"/>
      <x:c r="E60" s="1"/>
      <x:c r="F60" s="1"/>
      <x:c r="G60" s="1"/>
      <x:c r="H60" s="6"/>
      <x:c r="I60" s="6"/>
      <x:c r="J60" s="1"/>
      <x:c r="K60" s="1"/>
      <x:c r="L60" s="1"/>
      <x:c r="M60" s="1"/>
      <x:c r="N60" s="1"/>
      <x:c r="O60" s="1"/>
      <x:c r="P60" s="6"/>
      <x:c r="Q60" s="1"/>
      <x:c r="R60" s="1"/>
    </x:row>
    <x:row r="61" ht="28" customHeight="1">
      <x:c r="A61" s="5"/>
      <x:c r="B61" s="5"/>
      <x:c r="C61" s="5"/>
      <x:c r="D61" s="5"/>
      <x:c r="E61" s="5"/>
      <x:c r="F61" s="5"/>
      <x:c r="G61" s="5"/>
      <x:c r="H61" s="7"/>
      <x:c r="I61" s="7"/>
      <x:c r="J61" s="5"/>
      <x:c r="K61" s="5"/>
      <x:c r="L61" s="5"/>
      <x:c r="M61" s="5"/>
      <x:c r="N61" s="5"/>
      <x:c r="O61" s="5"/>
      <x:c r="P61" s="7"/>
      <x:c r="Q61" s="5"/>
      <x:c r="R61" s="5"/>
    </x:row>
    <x:row r="62" ht="28" customHeight="1">
      <x:c r="A62" s="1"/>
      <x:c r="B62" s="1"/>
      <x:c r="C62" s="1"/>
      <x:c r="D62" s="1"/>
      <x:c r="E62" s="1"/>
      <x:c r="F62" s="1"/>
      <x:c r="G62" s="1"/>
      <x:c r="H62" s="6"/>
      <x:c r="I62" s="6"/>
      <x:c r="J62" s="1"/>
      <x:c r="K62" s="1"/>
      <x:c r="L62" s="1"/>
      <x:c r="M62" s="1"/>
      <x:c r="N62" s="1"/>
      <x:c r="O62" s="1"/>
      <x:c r="P62" s="6"/>
      <x:c r="Q62" s="1"/>
      <x:c r="R62" s="1"/>
    </x:row>
    <x:row r="63" ht="28" customHeight="1">
      <x:c r="A63" s="5"/>
      <x:c r="B63" s="5"/>
      <x:c r="C63" s="5"/>
      <x:c r="D63" s="5"/>
      <x:c r="E63" s="5"/>
      <x:c r="F63" s="5"/>
      <x:c r="G63" s="5"/>
      <x:c r="H63" s="7"/>
      <x:c r="I63" s="7"/>
      <x:c r="J63" s="5"/>
      <x:c r="K63" s="5"/>
      <x:c r="L63" s="5"/>
      <x:c r="M63" s="5"/>
      <x:c r="N63" s="5"/>
      <x:c r="O63" s="5"/>
      <x:c r="P63" s="7"/>
      <x:c r="Q63" s="5"/>
      <x:c r="R63" s="5"/>
    </x:row>
    <x:row r="64" ht="28" customHeight="1">
      <x:c r="A64" s="1"/>
      <x:c r="B64" s="1"/>
      <x:c r="C64" s="1"/>
      <x:c r="D64" s="1"/>
      <x:c r="E64" s="1"/>
      <x:c r="F64" s="1"/>
      <x:c r="G64" s="1"/>
      <x:c r="H64" s="6"/>
      <x:c r="I64" s="6"/>
      <x:c r="J64" s="1"/>
      <x:c r="K64" s="1"/>
      <x:c r="L64" s="1"/>
      <x:c r="M64" s="1"/>
      <x:c r="N64" s="1"/>
      <x:c r="O64" s="1"/>
      <x:c r="P64" s="6"/>
      <x:c r="Q64" s="1"/>
      <x:c r="R64" s="1"/>
    </x:row>
    <x:row r="65" ht="28" customHeight="1">
      <x:c r="A65" s="5"/>
      <x:c r="B65" s="5"/>
      <x:c r="C65" s="5"/>
      <x:c r="D65" s="5"/>
      <x:c r="E65" s="5"/>
      <x:c r="F65" s="5"/>
      <x:c r="G65" s="5"/>
      <x:c r="H65" s="7"/>
      <x:c r="I65" s="7"/>
      <x:c r="J65" s="5"/>
      <x:c r="K65" s="5"/>
      <x:c r="L65" s="5"/>
      <x:c r="M65" s="5"/>
      <x:c r="N65" s="5"/>
      <x:c r="O65" s="5"/>
      <x:c r="P65" s="7"/>
      <x:c r="Q65" s="5"/>
      <x:c r="R65" s="5"/>
    </x:row>
    <x:row r="66" ht="28" customHeight="1">
      <x:c r="A66" s="1"/>
      <x:c r="B66" s="1"/>
      <x:c r="C66" s="1"/>
      <x:c r="D66" s="1"/>
      <x:c r="E66" s="1"/>
      <x:c r="F66" s="1"/>
      <x:c r="G66" s="1"/>
      <x:c r="H66" s="6"/>
      <x:c r="I66" s="6"/>
      <x:c r="J66" s="1"/>
      <x:c r="K66" s="1"/>
      <x:c r="L66" s="1"/>
      <x:c r="M66" s="1"/>
      <x:c r="N66" s="1"/>
      <x:c r="O66" s="1"/>
      <x:c r="P66" s="6"/>
      <x:c r="Q66" s="1"/>
      <x:c r="R66" s="1"/>
    </x:row>
    <x:row r="67" ht="28" customHeight="1">
      <x:c r="A67" s="5"/>
      <x:c r="B67" s="5"/>
      <x:c r="C67" s="5"/>
      <x:c r="D67" s="5"/>
      <x:c r="E67" s="5"/>
      <x:c r="F67" s="5"/>
      <x:c r="G67" s="5"/>
      <x:c r="H67" s="7"/>
      <x:c r="I67" s="7"/>
      <x:c r="J67" s="5"/>
      <x:c r="K67" s="5"/>
      <x:c r="L67" s="5"/>
      <x:c r="M67" s="5"/>
      <x:c r="N67" s="5"/>
      <x:c r="O67" s="5"/>
      <x:c r="P67" s="7"/>
      <x:c r="Q67" s="5"/>
      <x:c r="R67" s="5"/>
    </x:row>
    <x:row r="68" ht="28" customHeight="1">
      <x:c r="A68" s="1"/>
      <x:c r="B68" s="1"/>
      <x:c r="C68" s="1"/>
      <x:c r="D68" s="1"/>
      <x:c r="E68" s="1"/>
      <x:c r="F68" s="1"/>
      <x:c r="G68" s="1"/>
      <x:c r="H68" s="6"/>
      <x:c r="I68" s="6"/>
      <x:c r="J68" s="1"/>
      <x:c r="K68" s="1"/>
      <x:c r="L68" s="1"/>
      <x:c r="M68" s="1"/>
      <x:c r="N68" s="1"/>
      <x:c r="O68" s="1"/>
      <x:c r="P68" s="6"/>
      <x:c r="Q68" s="1"/>
      <x:c r="R68" s="1"/>
    </x:row>
    <x:row r="69" ht="28" customHeight="1">
      <x:c r="A69" s="5"/>
      <x:c r="B69" s="5"/>
      <x:c r="C69" s="5"/>
      <x:c r="D69" s="5"/>
      <x:c r="E69" s="5"/>
      <x:c r="F69" s="5"/>
      <x:c r="G69" s="5"/>
      <x:c r="H69" s="7"/>
      <x:c r="I69" s="7"/>
      <x:c r="J69" s="5"/>
      <x:c r="K69" s="5"/>
      <x:c r="L69" s="5"/>
      <x:c r="M69" s="5"/>
      <x:c r="N69" s="5"/>
      <x:c r="O69" s="5"/>
      <x:c r="P69" s="7"/>
      <x:c r="Q69" s="5"/>
      <x:c r="R69" s="5"/>
    </x:row>
    <x:row r="70" ht="28" customHeight="1">
      <x:c r="A70" s="1"/>
      <x:c r="B70" s="1"/>
      <x:c r="C70" s="1"/>
      <x:c r="D70" s="1"/>
      <x:c r="E70" s="1"/>
      <x:c r="F70" s="1"/>
      <x:c r="G70" s="1"/>
      <x:c r="H70" s="6"/>
      <x:c r="I70" s="6"/>
      <x:c r="J70" s="1"/>
      <x:c r="K70" s="1"/>
      <x:c r="L70" s="1"/>
      <x:c r="M70" s="1"/>
      <x:c r="N70" s="1"/>
      <x:c r="O70" s="1"/>
      <x:c r="P70" s="6"/>
      <x:c r="Q70" s="1"/>
      <x:c r="R70" s="1"/>
    </x:row>
    <x:row r="71" ht="28" customHeight="1">
      <x:c r="A71" s="5"/>
      <x:c r="B71" s="5"/>
      <x:c r="C71" s="5"/>
      <x:c r="D71" s="5"/>
      <x:c r="E71" s="5"/>
      <x:c r="F71" s="5"/>
      <x:c r="G71" s="5"/>
      <x:c r="H71" s="7"/>
      <x:c r="I71" s="7"/>
      <x:c r="J71" s="5"/>
      <x:c r="K71" s="5"/>
      <x:c r="L71" s="5"/>
      <x:c r="M71" s="5"/>
      <x:c r="N71" s="5"/>
      <x:c r="O71" s="5"/>
      <x:c r="P71" s="7"/>
      <x:c r="Q71" s="5"/>
      <x:c r="R71" s="5"/>
    </x:row>
    <x:row r="72" ht="28" customHeight="1">
      <x:c r="A72" s="1"/>
      <x:c r="B72" s="1"/>
      <x:c r="C72" s="1"/>
      <x:c r="D72" s="1"/>
      <x:c r="E72" s="1"/>
      <x:c r="F72" s="1"/>
      <x:c r="G72" s="1"/>
      <x:c r="H72" s="6"/>
      <x:c r="I72" s="6"/>
      <x:c r="J72" s="1"/>
      <x:c r="K72" s="1"/>
      <x:c r="L72" s="1"/>
      <x:c r="M72" s="1"/>
      <x:c r="N72" s="1"/>
      <x:c r="O72" s="1"/>
      <x:c r="P72" s="6"/>
      <x:c r="Q72" s="1"/>
      <x:c r="R72" s="1"/>
    </x:row>
    <x:row r="73" ht="28" customHeight="1">
      <x:c r="A73" s="5"/>
      <x:c r="B73" s="5"/>
      <x:c r="C73" s="5"/>
      <x:c r="D73" s="5"/>
      <x:c r="E73" s="5"/>
      <x:c r="F73" s="5"/>
      <x:c r="G73" s="5"/>
      <x:c r="H73" s="7"/>
      <x:c r="I73" s="7"/>
      <x:c r="J73" s="5"/>
      <x:c r="K73" s="5"/>
      <x:c r="L73" s="5"/>
      <x:c r="M73" s="5"/>
      <x:c r="N73" s="5"/>
      <x:c r="O73" s="5"/>
      <x:c r="P73" s="7"/>
      <x:c r="Q73" s="5"/>
      <x:c r="R73" s="5"/>
    </x:row>
    <x:row r="74" ht="28" customHeight="1">
      <x:c r="A74" s="1"/>
      <x:c r="B74" s="1"/>
      <x:c r="C74" s="1"/>
      <x:c r="D74" s="1"/>
      <x:c r="E74" s="1"/>
      <x:c r="F74" s="1"/>
      <x:c r="G74" s="1"/>
      <x:c r="H74" s="6"/>
      <x:c r="I74" s="6"/>
      <x:c r="J74" s="1"/>
      <x:c r="K74" s="1"/>
      <x:c r="L74" s="1"/>
      <x:c r="M74" s="1"/>
      <x:c r="N74" s="1"/>
      <x:c r="O74" s="1"/>
      <x:c r="P74" s="6"/>
      <x:c r="Q74" s="1"/>
      <x:c r="R74" s="1"/>
    </x:row>
    <x:row r="75" ht="28" customHeight="1">
      <x:c r="A75" s="5"/>
      <x:c r="B75" s="5"/>
      <x:c r="C75" s="5"/>
      <x:c r="D75" s="5"/>
      <x:c r="E75" s="5"/>
      <x:c r="F75" s="5"/>
      <x:c r="G75" s="5"/>
      <x:c r="H75" s="7"/>
      <x:c r="I75" s="7"/>
      <x:c r="J75" s="5"/>
      <x:c r="K75" s="5"/>
      <x:c r="L75" s="5"/>
      <x:c r="M75" s="5"/>
      <x:c r="N75" s="5"/>
      <x:c r="O75" s="5"/>
      <x:c r="P75" s="7"/>
      <x:c r="Q75" s="5"/>
      <x:c r="R75" s="5"/>
    </x:row>
    <x:row r="76" ht="28" customHeight="1">
      <x:c r="A76" s="1"/>
      <x:c r="B76" s="1"/>
      <x:c r="C76" s="1"/>
      <x:c r="D76" s="1"/>
      <x:c r="E76" s="1"/>
      <x:c r="F76" s="1"/>
      <x:c r="G76" s="1"/>
      <x:c r="H76" s="6"/>
      <x:c r="I76" s="6"/>
      <x:c r="J76" s="1"/>
      <x:c r="K76" s="1"/>
      <x:c r="L76" s="1"/>
      <x:c r="M76" s="1"/>
      <x:c r="N76" s="1"/>
      <x:c r="O76" s="1"/>
      <x:c r="P76" s="6"/>
      <x:c r="Q76" s="1"/>
      <x:c r="R76" s="1"/>
    </x:row>
    <x:row r="77" ht="28" customHeight="1">
      <x:c r="A77" s="5"/>
      <x:c r="B77" s="5"/>
      <x:c r="C77" s="5"/>
      <x:c r="D77" s="5"/>
      <x:c r="E77" s="5"/>
      <x:c r="F77" s="5"/>
      <x:c r="G77" s="5"/>
      <x:c r="H77" s="7"/>
      <x:c r="I77" s="7"/>
      <x:c r="J77" s="5"/>
      <x:c r="K77" s="5"/>
      <x:c r="L77" s="5"/>
      <x:c r="M77" s="5"/>
      <x:c r="N77" s="5"/>
      <x:c r="O77" s="5"/>
      <x:c r="P77" s="7"/>
      <x:c r="Q77" s="5"/>
      <x:c r="R77" s="5"/>
    </x:row>
    <x:row r="78" ht="28" customHeight="1">
      <x:c r="A78" s="1"/>
      <x:c r="B78" s="1"/>
      <x:c r="C78" s="1"/>
      <x:c r="D78" s="1"/>
      <x:c r="E78" s="1"/>
      <x:c r="F78" s="1"/>
      <x:c r="G78" s="1"/>
      <x:c r="H78" s="6"/>
      <x:c r="I78" s="6"/>
      <x:c r="J78" s="1"/>
      <x:c r="K78" s="1"/>
      <x:c r="L78" s="1"/>
      <x:c r="M78" s="1"/>
      <x:c r="N78" s="1"/>
      <x:c r="O78" s="1"/>
      <x:c r="P78" s="6"/>
      <x:c r="Q78" s="1"/>
      <x:c r="R78" s="1"/>
    </x:row>
    <x:row r="79" ht="28" customHeight="1">
      <x:c r="A79" s="5"/>
      <x:c r="B79" s="5"/>
      <x:c r="C79" s="5"/>
      <x:c r="D79" s="5"/>
      <x:c r="E79" s="5"/>
      <x:c r="F79" s="5"/>
      <x:c r="G79" s="5"/>
      <x:c r="H79" s="7"/>
      <x:c r="I79" s="7"/>
      <x:c r="J79" s="5"/>
      <x:c r="K79" s="5"/>
      <x:c r="L79" s="5"/>
      <x:c r="M79" s="5"/>
      <x:c r="N79" s="5"/>
      <x:c r="O79" s="5"/>
      <x:c r="P79" s="7"/>
      <x:c r="Q79" s="5"/>
      <x:c r="R79" s="5"/>
    </x:row>
    <x:row r="80" ht="28" customHeight="1">
      <x:c r="A80" s="1"/>
      <x:c r="B80" s="1"/>
      <x:c r="C80" s="1"/>
      <x:c r="D80" s="1"/>
      <x:c r="E80" s="1"/>
      <x:c r="F80" s="1"/>
      <x:c r="G80" s="1"/>
      <x:c r="H80" s="6"/>
      <x:c r="I80" s="6"/>
      <x:c r="J80" s="1"/>
      <x:c r="K80" s="1"/>
      <x:c r="L80" s="1"/>
      <x:c r="M80" s="1"/>
      <x:c r="N80" s="1"/>
      <x:c r="O80" s="1"/>
      <x:c r="P80" s="6"/>
      <x:c r="Q80" s="1"/>
      <x:c r="R80" s="1"/>
    </x:row>
    <x:row r="81" ht="28" customHeight="1">
      <x:c r="A81" s="5"/>
      <x:c r="B81" s="5"/>
      <x:c r="C81" s="5"/>
      <x:c r="D81" s="5"/>
      <x:c r="E81" s="5"/>
      <x:c r="F81" s="5"/>
      <x:c r="G81" s="5"/>
      <x:c r="H81" s="7"/>
      <x:c r="I81" s="7"/>
      <x:c r="J81" s="5"/>
      <x:c r="K81" s="5"/>
      <x:c r="L81" s="5"/>
      <x:c r="M81" s="5"/>
      <x:c r="N81" s="5"/>
      <x:c r="O81" s="5"/>
      <x:c r="P81" s="7"/>
      <x:c r="Q81" s="5"/>
      <x:c r="R81" s="5"/>
    </x:row>
    <x:row r="82" ht="28" customHeight="1">
      <x:c r="A82" s="1"/>
      <x:c r="B82" s="1"/>
      <x:c r="C82" s="1"/>
      <x:c r="D82" s="1"/>
      <x:c r="E82" s="1"/>
      <x:c r="F82" s="1"/>
      <x:c r="G82" s="1"/>
      <x:c r="H82" s="6"/>
      <x:c r="I82" s="6"/>
      <x:c r="J82" s="1"/>
      <x:c r="K82" s="1"/>
      <x:c r="L82" s="1"/>
      <x:c r="M82" s="1"/>
      <x:c r="N82" s="1"/>
      <x:c r="O82" s="1"/>
      <x:c r="P82" s="6"/>
      <x:c r="Q82" s="1"/>
      <x:c r="R82" s="1"/>
    </x:row>
    <x:row r="83" ht="28" customHeight="1">
      <x:c r="A83" s="5"/>
      <x:c r="B83" s="5"/>
      <x:c r="C83" s="5"/>
      <x:c r="D83" s="5"/>
      <x:c r="E83" s="5"/>
      <x:c r="F83" s="5"/>
      <x:c r="G83" s="5"/>
      <x:c r="H83" s="7"/>
      <x:c r="I83" s="7"/>
      <x:c r="J83" s="5"/>
      <x:c r="K83" s="5"/>
      <x:c r="L83" s="5"/>
      <x:c r="M83" s="5"/>
      <x:c r="N83" s="5"/>
      <x:c r="O83" s="5"/>
      <x:c r="P83" s="7"/>
      <x:c r="Q83" s="5"/>
      <x:c r="R83" s="5"/>
    </x:row>
    <x:row r="84" ht="28" customHeight="1">
      <x:c r="A84" s="1"/>
      <x:c r="B84" s="1"/>
      <x:c r="C84" s="1"/>
      <x:c r="D84" s="1"/>
      <x:c r="E84" s="1"/>
      <x:c r="F84" s="1"/>
      <x:c r="G84" s="1"/>
      <x:c r="H84" s="6"/>
      <x:c r="I84" s="6"/>
      <x:c r="J84" s="1"/>
      <x:c r="K84" s="1"/>
      <x:c r="L84" s="1"/>
      <x:c r="M84" s="1"/>
      <x:c r="N84" s="1"/>
      <x:c r="O84" s="1"/>
      <x:c r="P84" s="6"/>
      <x:c r="Q84" s="1"/>
      <x:c r="R84" s="1"/>
    </x:row>
    <x:row r="85" ht="28" customHeight="1">
      <x:c r="A85" s="5"/>
      <x:c r="B85" s="5"/>
      <x:c r="C85" s="5"/>
      <x:c r="D85" s="5"/>
      <x:c r="E85" s="5"/>
      <x:c r="F85" s="5"/>
      <x:c r="G85" s="5"/>
      <x:c r="H85" s="7"/>
      <x:c r="I85" s="7"/>
      <x:c r="J85" s="5"/>
      <x:c r="K85" s="5"/>
      <x:c r="L85" s="5"/>
      <x:c r="M85" s="5"/>
      <x:c r="N85" s="5"/>
      <x:c r="O85" s="5"/>
      <x:c r="P85" s="7"/>
      <x:c r="Q85" s="5"/>
      <x:c r="R85" s="5"/>
    </x:row>
    <x:row r="86" ht="28" customHeight="1">
      <x:c r="A86" s="1"/>
      <x:c r="B86" s="1"/>
      <x:c r="C86" s="1"/>
      <x:c r="D86" s="1"/>
      <x:c r="E86" s="1"/>
      <x:c r="F86" s="1"/>
      <x:c r="G86" s="1"/>
      <x:c r="H86" s="6"/>
      <x:c r="I86" s="6"/>
      <x:c r="J86" s="1"/>
      <x:c r="K86" s="1"/>
      <x:c r="L86" s="1"/>
      <x:c r="M86" s="1"/>
      <x:c r="N86" s="1"/>
      <x:c r="O86" s="1"/>
      <x:c r="P86" s="6"/>
      <x:c r="Q86" s="1"/>
      <x:c r="R86" s="1"/>
    </x:row>
    <x:row r="87" ht="28" customHeight="1">
      <x:c r="A87" s="5"/>
      <x:c r="B87" s="5"/>
      <x:c r="C87" s="5"/>
      <x:c r="D87" s="5"/>
      <x:c r="E87" s="5"/>
      <x:c r="F87" s="5"/>
      <x:c r="G87" s="5"/>
      <x:c r="H87" s="7"/>
      <x:c r="I87" s="7"/>
      <x:c r="J87" s="5"/>
      <x:c r="K87" s="5"/>
      <x:c r="L87" s="5"/>
      <x:c r="M87" s="5"/>
      <x:c r="N87" s="5"/>
      <x:c r="O87" s="5"/>
      <x:c r="P87" s="7"/>
      <x:c r="Q87" s="5"/>
      <x:c r="R87" s="5"/>
    </x:row>
    <x:row r="88" ht="28" customHeight="1">
      <x:c r="A88" s="1"/>
      <x:c r="B88" s="1"/>
      <x:c r="C88" s="1"/>
      <x:c r="D88" s="1"/>
      <x:c r="E88" s="1"/>
      <x:c r="F88" s="1"/>
      <x:c r="G88" s="1"/>
      <x:c r="H88" s="6"/>
      <x:c r="I88" s="6"/>
      <x:c r="J88" s="1"/>
      <x:c r="K88" s="1"/>
      <x:c r="L88" s="1"/>
      <x:c r="M88" s="1"/>
      <x:c r="N88" s="1"/>
      <x:c r="O88" s="1"/>
      <x:c r="P88" s="6"/>
      <x:c r="Q88" s="1"/>
      <x:c r="R88" s="1"/>
    </x:row>
    <x:row r="89" ht="28" customHeight="1">
      <x:c r="A89" s="5"/>
      <x:c r="B89" s="5"/>
      <x:c r="C89" s="5"/>
      <x:c r="D89" s="5"/>
      <x:c r="E89" s="5"/>
      <x:c r="F89" s="5"/>
      <x:c r="G89" s="5"/>
      <x:c r="H89" s="7"/>
      <x:c r="I89" s="7"/>
      <x:c r="J89" s="5"/>
      <x:c r="K89" s="5"/>
      <x:c r="L89" s="5"/>
      <x:c r="M89" s="5"/>
      <x:c r="N89" s="5"/>
      <x:c r="O89" s="5"/>
      <x:c r="P89" s="7"/>
      <x:c r="Q89" s="5"/>
      <x:c r="R89" s="5"/>
    </x:row>
    <x:row r="90" ht="28" customHeight="1">
      <x:c r="A90" s="1"/>
      <x:c r="B90" s="1"/>
      <x:c r="C90" s="1"/>
      <x:c r="D90" s="1"/>
      <x:c r="E90" s="1"/>
      <x:c r="F90" s="1"/>
      <x:c r="G90" s="1"/>
      <x:c r="H90" s="6"/>
      <x:c r="I90" s="6"/>
      <x:c r="J90" s="1"/>
      <x:c r="K90" s="1"/>
      <x:c r="L90" s="1"/>
      <x:c r="M90" s="1"/>
      <x:c r="N90" s="1"/>
      <x:c r="O90" s="1"/>
      <x:c r="P90" s="6"/>
      <x:c r="Q90" s="1"/>
      <x:c r="R90" s="1"/>
    </x:row>
    <x:row r="91" ht="28" customHeight="1">
      <x:c r="A91" s="5"/>
      <x:c r="B91" s="5"/>
      <x:c r="C91" s="5"/>
      <x:c r="D91" s="5"/>
      <x:c r="E91" s="5"/>
      <x:c r="F91" s="5"/>
      <x:c r="G91" s="5"/>
      <x:c r="H91" s="7"/>
      <x:c r="I91" s="7"/>
      <x:c r="J91" s="5"/>
      <x:c r="K91" s="5"/>
      <x:c r="L91" s="5"/>
      <x:c r="M91" s="5"/>
      <x:c r="N91" s="5"/>
      <x:c r="O91" s="5"/>
      <x:c r="P91" s="7"/>
      <x:c r="Q91" s="5"/>
      <x:c r="R91" s="5"/>
    </x:row>
  </x:sheetData>
  <x:dataValidations count="5">
    <x:dataValidation type="list" sqref="E2:E91">
      <x:formula1>"二值,1-5,GSB"</x:formula1>
    </x:dataValidation>
    <x:dataValidation type="list" sqref="L2:L91">
      <x:formula1>"G,S,B"</x:formula1>
    </x:dataValidation>
    <x:dataValidation type="list" sqref="M2:N91">
      <x:formula1>"通过,不通过,不适用"</x:formula1>
    </x:dataValidation>
    <x:dataValidation type="list" sqref="Q2:Q91">
      <x:formula1>"无,输入问题,预期问题,标准问题"</x:formula1>
    </x:dataValidation>
    <x:dataValidation type="list" sqref="R2:R91">
      <x:formula1>"待输出,待评分,已评分,不适用,样本待修订"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  <x:col min="8" max="8" width="34" hidden="0" customWidth="1"/>
    <x:col min="9" max="9" width="3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42" customHeight="1">
      <x:c r="A1" s="4" t="str">
        <x:v>metric_id</x:v>
      </x:c>
      <x:c r="B1" s="4" t="str">
        <x:v>指标名称</x:v>
      </x:c>
      <x:c r="C1" s="4" t="str">
        <x:v>定义</x:v>
      </x:c>
      <x:c r="D1" s="4" t="str">
        <x:v>评分方式</x:v>
      </x:c>
      <x:c r="E1" s="4" t="str">
        <x:v>适用条件</x:v>
      </x:c>
      <x:c r="F1" s="4" t="str">
        <x:v>权重</x:v>
      </x:c>
      <x:c r="G1" s="4" t="str">
        <x:v>档位锚点</x:v>
      </x:c>
      <x:c r="H1" s="4" t="str">
        <x:v>正例（至少2个）</x:v>
      </x:c>
      <x:c r="I1" s="4" t="str">
        <x:v>反例（至少2个）</x:v>
      </x:c>
      <x:c r="J1" s="4" t="str">
        <x:v>规则编号</x:v>
      </x:c>
      <x:c r="K1" s="4" t="str">
        <x:v>分歧与裁决</x:v>
      </x:c>
      <x:c r="L1" s="4" t="str">
        <x:v>硬门槛规则</x:v>
      </x:c>
      <x:c r="M1" s="4" t="str">
        <x:v>通过阈值</x:v>
      </x:c>
    </x:row>
    <x:row r="2" ht="28" customHeight="1">
      <x:c r="A2" s="1"/>
      <x:c r="B2" s="1"/>
      <x:c r="C2" s="1"/>
      <x:c r="D2" s="1"/>
      <x:c r="E2" s="1"/>
      <x:c r="F2" s="1"/>
      <x:c r="G2" s="6"/>
      <x:c r="H2" s="6"/>
      <x:c r="I2" s="6"/>
      <x:c r="J2" s="1"/>
      <x:c r="K2" s="1"/>
      <x:c r="L2" s="1"/>
      <x:c r="M2" s="1"/>
    </x:row>
    <x:row r="3" ht="28" customHeight="1">
      <x:c r="A3" s="5"/>
      <x:c r="B3" s="5"/>
      <x:c r="C3" s="5"/>
      <x:c r="D3" s="5"/>
      <x:c r="E3" s="5"/>
      <x:c r="F3" s="5"/>
      <x:c r="G3" s="7"/>
      <x:c r="H3" s="7"/>
      <x:c r="I3" s="7"/>
      <x:c r="J3" s="5"/>
      <x:c r="K3" s="5"/>
      <x:c r="L3" s="5"/>
      <x:c r="M3" s="5"/>
    </x:row>
    <x:row r="4" ht="28" customHeight="1">
      <x:c r="A4" s="1"/>
      <x:c r="B4" s="1"/>
      <x:c r="C4" s="1"/>
      <x:c r="D4" s="1"/>
      <x:c r="E4" s="1"/>
      <x:c r="F4" s="1"/>
      <x:c r="G4" s="6"/>
      <x:c r="H4" s="6"/>
      <x:c r="I4" s="6"/>
      <x:c r="J4" s="1"/>
      <x:c r="K4" s="1"/>
      <x:c r="L4" s="1"/>
      <x:c r="M4" s="1"/>
    </x:row>
    <x:row r="5" ht="28" customHeight="1">
      <x:c r="A5" s="5"/>
      <x:c r="B5" s="5"/>
      <x:c r="C5" s="5"/>
      <x:c r="D5" s="5"/>
      <x:c r="E5" s="5"/>
      <x:c r="F5" s="5"/>
      <x:c r="G5" s="7"/>
      <x:c r="H5" s="7"/>
      <x:c r="I5" s="7"/>
      <x:c r="J5" s="5"/>
      <x:c r="K5" s="5"/>
      <x:c r="L5" s="5"/>
      <x:c r="M5" s="5"/>
    </x:row>
    <x:row r="6" ht="28" customHeight="1">
      <x:c r="A6" s="1"/>
      <x:c r="B6" s="1"/>
      <x:c r="C6" s="1"/>
      <x:c r="D6" s="1"/>
      <x:c r="E6" s="1"/>
      <x:c r="F6" s="1"/>
      <x:c r="G6" s="6"/>
      <x:c r="H6" s="6"/>
      <x:c r="I6" s="6"/>
      <x:c r="J6" s="1"/>
      <x:c r="K6" s="1"/>
      <x:c r="L6" s="1"/>
      <x:c r="M6" s="1"/>
    </x:row>
    <x:row r="7" ht="28" customHeight="1">
      <x:c r="A7" s="5"/>
      <x:c r="B7" s="5"/>
      <x:c r="C7" s="5"/>
      <x:c r="D7" s="5"/>
      <x:c r="E7" s="5"/>
      <x:c r="F7" s="5"/>
      <x:c r="G7" s="7"/>
      <x:c r="H7" s="7"/>
      <x:c r="I7" s="7"/>
      <x:c r="J7" s="5"/>
      <x:c r="K7" s="5"/>
      <x:c r="L7" s="5"/>
      <x:c r="M7" s="5"/>
    </x:row>
    <x:row r="8" ht="28" customHeight="1">
      <x:c r="A8" s="1"/>
      <x:c r="B8" s="1"/>
      <x:c r="C8" s="1"/>
      <x:c r="D8" s="1"/>
      <x:c r="E8" s="1"/>
      <x:c r="F8" s="1"/>
      <x:c r="G8" s="6"/>
      <x:c r="H8" s="6"/>
      <x:c r="I8" s="6"/>
      <x:c r="J8" s="1"/>
      <x:c r="K8" s="1"/>
      <x:c r="L8" s="1"/>
      <x:c r="M8" s="1"/>
    </x:row>
    <x:row r="9" ht="28" customHeight="1">
      <x:c r="A9" s="5"/>
      <x:c r="B9" s="5"/>
      <x:c r="C9" s="5"/>
      <x:c r="D9" s="5"/>
      <x:c r="E9" s="5"/>
      <x:c r="F9" s="5"/>
      <x:c r="G9" s="7"/>
      <x:c r="H9" s="7"/>
      <x:c r="I9" s="7"/>
      <x:c r="J9" s="5"/>
      <x:c r="K9" s="5"/>
      <x:c r="L9" s="5"/>
      <x:c r="M9" s="5"/>
    </x:row>
    <x:row r="10" ht="28" customHeight="1">
      <x:c r="A10" s="1"/>
      <x:c r="B10" s="1"/>
      <x:c r="C10" s="1"/>
      <x:c r="D10" s="1"/>
      <x:c r="E10" s="1"/>
      <x:c r="F10" s="1"/>
      <x:c r="G10" s="6"/>
      <x:c r="H10" s="6"/>
      <x:c r="I10" s="6"/>
      <x:c r="J10" s="1"/>
      <x:c r="K10" s="1"/>
      <x:c r="L10" s="1"/>
      <x:c r="M10" s="1"/>
    </x:row>
    <x:row r="11" ht="28" customHeight="1">
      <x:c r="A11" s="5"/>
      <x:c r="B11" s="5"/>
      <x:c r="C11" s="5"/>
      <x:c r="D11" s="5"/>
      <x:c r="E11" s="5"/>
      <x:c r="F11" s="5"/>
      <x:c r="G11" s="7"/>
      <x:c r="H11" s="7"/>
      <x:c r="I11" s="7"/>
      <x:c r="J11" s="5"/>
      <x:c r="K11" s="5"/>
      <x:c r="L11" s="5"/>
      <x:c r="M11" s="5"/>
    </x:row>
    <x:row r="12" ht="28" customHeight="1">
      <x:c r="A12" s="1"/>
      <x:c r="B12" s="1"/>
      <x:c r="C12" s="1"/>
      <x:c r="D12" s="1"/>
      <x:c r="E12" s="1"/>
      <x:c r="F12" s="1"/>
      <x:c r="G12" s="6"/>
      <x:c r="H12" s="6"/>
      <x:c r="I12" s="6"/>
      <x:c r="J12" s="1"/>
      <x:c r="K12" s="1"/>
      <x:c r="L12" s="1"/>
      <x:c r="M12" s="1"/>
    </x:row>
    <x:row r="13" ht="28" customHeight="1">
      <x:c r="A13" s="5"/>
      <x:c r="B13" s="5"/>
      <x:c r="C13" s="5"/>
      <x:c r="D13" s="5"/>
      <x:c r="E13" s="5"/>
      <x:c r="F13" s="5"/>
      <x:c r="G13" s="7"/>
      <x:c r="H13" s="7"/>
      <x:c r="I13" s="7"/>
      <x:c r="J13" s="5"/>
      <x:c r="K13" s="5"/>
      <x:c r="L13" s="5"/>
      <x:c r="M13" s="5"/>
    </x:row>
    <x:row r="14" ht="28" customHeight="1">
      <x:c r="A14" s="1"/>
      <x:c r="B14" s="1"/>
      <x:c r="C14" s="1"/>
      <x:c r="D14" s="1"/>
      <x:c r="E14" s="1"/>
      <x:c r="F14" s="1"/>
      <x:c r="G14" s="6"/>
      <x:c r="H14" s="6"/>
      <x:c r="I14" s="6"/>
      <x:c r="J14" s="1"/>
      <x:c r="K14" s="1"/>
      <x:c r="L14" s="1"/>
      <x:c r="M14" s="1"/>
    </x:row>
    <x:row r="15" ht="28" customHeight="1">
      <x:c r="A15" s="5"/>
      <x:c r="B15" s="5"/>
      <x:c r="C15" s="5"/>
      <x:c r="D15" s="5"/>
      <x:c r="E15" s="5"/>
      <x:c r="F15" s="5"/>
      <x:c r="G15" s="7"/>
      <x:c r="H15" s="7"/>
      <x:c r="I15" s="7"/>
      <x:c r="J15" s="5"/>
      <x:c r="K15" s="5"/>
      <x:c r="L15" s="5"/>
      <x:c r="M15" s="5"/>
    </x:row>
    <x:row r="16" ht="28" customHeight="1">
      <x:c r="A16" s="1"/>
      <x:c r="B16" s="1"/>
      <x:c r="C16" s="1"/>
      <x:c r="D16" s="1"/>
      <x:c r="E16" s="1"/>
      <x:c r="F16" s="1"/>
      <x:c r="G16" s="6"/>
      <x:c r="H16" s="6"/>
      <x:c r="I16" s="6"/>
      <x:c r="J16" s="1"/>
      <x:c r="K16" s="1"/>
      <x:c r="L16" s="1"/>
      <x:c r="M16" s="1"/>
    </x:row>
    <x:row r="17" ht="28" customHeight="1">
      <x:c r="A17" s="5"/>
      <x:c r="B17" s="5"/>
      <x:c r="C17" s="5"/>
      <x:c r="D17" s="5"/>
      <x:c r="E17" s="5"/>
      <x:c r="F17" s="5"/>
      <x:c r="G17" s="7"/>
      <x:c r="H17" s="7"/>
      <x:c r="I17" s="7"/>
      <x:c r="J17" s="5"/>
      <x:c r="K17" s="5"/>
      <x:c r="L17" s="5"/>
      <x:c r="M17" s="5"/>
    </x:row>
    <x:row r="18" ht="28" customHeight="1">
      <x:c r="A18" s="1"/>
      <x:c r="B18" s="1"/>
      <x:c r="C18" s="1"/>
      <x:c r="D18" s="1"/>
      <x:c r="E18" s="1"/>
      <x:c r="F18" s="1"/>
      <x:c r="G18" s="6"/>
      <x:c r="H18" s="6"/>
      <x:c r="I18" s="6"/>
      <x:c r="J18" s="1"/>
      <x:c r="K18" s="1"/>
      <x:c r="L18" s="1"/>
      <x:c r="M18" s="1"/>
    </x:row>
    <x:row r="19" ht="28" customHeight="1">
      <x:c r="A19" s="5"/>
      <x:c r="B19" s="5"/>
      <x:c r="C19" s="5"/>
      <x:c r="D19" s="5"/>
      <x:c r="E19" s="5"/>
      <x:c r="F19" s="5"/>
      <x:c r="G19" s="7"/>
      <x:c r="H19" s="7"/>
      <x:c r="I19" s="7"/>
      <x:c r="J19" s="5"/>
      <x:c r="K19" s="5"/>
      <x:c r="L19" s="5"/>
      <x:c r="M19" s="5"/>
    </x:row>
    <x:row r="20" ht="28" customHeight="1">
      <x:c r="A20" s="1"/>
      <x:c r="B20" s="1"/>
      <x:c r="C20" s="1"/>
      <x:c r="D20" s="1"/>
      <x:c r="E20" s="1"/>
      <x:c r="F20" s="1"/>
      <x:c r="G20" s="6"/>
      <x:c r="H20" s="6"/>
      <x:c r="I20" s="6"/>
      <x:c r="J20" s="1"/>
      <x:c r="K20" s="1"/>
      <x:c r="L20" s="1"/>
      <x:c r="M20" s="1"/>
    </x:row>
    <x:row r="21" ht="28" customHeight="1">
      <x:c r="A21" s="5"/>
      <x:c r="B21" s="5"/>
      <x:c r="C21" s="5"/>
      <x:c r="D21" s="5"/>
      <x:c r="E21" s="5"/>
      <x:c r="F21" s="5"/>
      <x:c r="G21" s="7"/>
      <x:c r="H21" s="7"/>
      <x:c r="I21" s="7"/>
      <x:c r="J21" s="5"/>
      <x:c r="K21" s="5"/>
      <x:c r="L21" s="5"/>
      <x:c r="M21" s="5"/>
    </x:row>
  </x:sheetData>
  <x:dataValidations count="1">
    <x:dataValidation type="list" sqref="D2:D21">
      <x:formula1>"二值,1-5,GSB"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1" hidden="0" customWidth="1"/>
  </x:cols>
  <x:sheetData>
    <x:row r="1" ht="42" customHeight="1">
      <x:c r="A1" s="4" t="str">
        <x:v>metric_id</x:v>
      </x:c>
      <x:c r="B1" s="4" t="str">
        <x:v>评分方式</x:v>
      </x:c>
      <x:c r="C1" s="4" t="str">
        <x:v>计划记录数</x:v>
      </x:c>
      <x:c r="D1" s="4" t="str">
        <x:v>已评分数</x:v>
      </x:c>
      <x:c r="E1" s="4" t="str">
        <x:v>不适用数</x:v>
      </x:c>
      <x:c r="F1" s="4" t="str">
        <x:v>待修订数</x:v>
      </x:c>
      <x:c r="G1" s="4" t="str">
        <x:v>完成率</x:v>
      </x:c>
      <x:c r="H1" s="4" t="str">
        <x:v>二值通过率</x:v>
      </x:c>
      <x:c r="I1" s="4" t="str">
        <x:v>1-5平均分</x:v>
      </x:c>
      <x:c r="J1" s="4" t="str">
        <x:v>G数量</x:v>
      </x:c>
      <x:c r="K1" s="4" t="str">
        <x:v>S数量</x:v>
      </x:c>
      <x:c r="L1" s="4" t="str">
        <x:v>B数量</x:v>
      </x:c>
      <x:c r="M1" s="4" t="str">
        <x:v>候选否决数</x:v>
      </x:c>
      <x:c r="N1" s="4" t="str">
        <x:v>结果状态</x:v>
      </x:c>
    </x:row>
    <x:row r="2" ht="28" customHeight="1">
      <x:c r="A2" s="1" t="str">
        <x:f>IF('评分标准'!A2="","",'评分标准'!A2)</x:f>
      </x:c>
      <x:c r="B2" s="1" t="str">
        <x:f>IF(A2="","",'评分标准'!D2)</x:f>
      </x:c>
      <x:c r="C2" s="1" t="str">
        <x:f>IF(A2="","",COUNTIFS('评分工作台'!$D$2:$D$91,$A2,'评分工作台'!$A$2:$A$91,"&lt;&gt;"))</x:f>
      </x:c>
      <x:c r="D2" s="1" t="str">
        <x:f>IF(A2="","",COUNTIFS('评分工作台'!$D$2:$D$91,$A2,'评分工作台'!$R$2:$R$91,"已评分",'评分工作台'!$Q$2:$Q$91,"无"))</x:f>
      </x:c>
      <x:c r="E2" s="1" t="str">
        <x:f>IF(A2="","",COUNTIFS('评分工作台'!$D$2:$D$91,$A2,'评分工作台'!$R$2:$R$91,"不适用",'评分工作台'!$Q$2:$Q$91,"无"))</x:f>
      </x:c>
      <x:c r="F2" s="1" t="str">
        <x:f>IF(A2="","",COUNTIFS('评分工作台'!$D$2:$D$91,$A2,'评分工作台'!$R$2:$R$91,"样本待修订"))</x:f>
      </x:c>
      <x:c r="G2" s="8" t="str">
        <x:f>IF(OR(A2="",C2-E2=0),"",D2/(C2-E2))</x:f>
      </x:c>
      <x:c r="H2" s="8" t="str">
        <x:f>IF(OR(A2="",B2&lt;&gt;"二值",COUNTIFS('评分工作台'!$D$2:$D$91,$A2,'评分工作台'!$R$2:$R$91,"已评分",'评分工作台'!$Q$2:$Q$91,"无",'评分工作台'!$K$2:$K$91,"通过")+COUNTIFS('评分工作台'!$D$2:$D$91,$A2,'评分工作台'!$R$2:$R$91,"已评分",'评分工作台'!$Q$2:$Q$91,"无",'评分工作台'!$K$2:$K$91,"不通过")=0),"",COUNTIFS('评分工作台'!$D$2:$D$91,$A2,'评分工作台'!$R$2:$R$91,"已评分",'评分工作台'!$Q$2:$Q$91,"无",'评分工作台'!$K$2:$K$91,"通过")/(COUNTIFS('评分工作台'!$D$2:$D$91,$A2,'评分工作台'!$R$2:$R$91,"已评分",'评分工作台'!$Q$2:$Q$91,"无",'评分工作台'!$K$2:$K$91,"通过")+COUNTIFS('评分工作台'!$D$2:$D$91,$A2,'评分工作台'!$R$2:$R$91,"已评分",'评分工作台'!$Q$2:$Q$91,"无",'评分工作台'!$K$2:$K$91,"不通过")))</x:f>
      </x:c>
      <x:c r="I2" s="10" t="str">
        <x:f>IF(OR(A2="",B2&lt;&gt;"1-5",D2=0),"",SUMIFS('评分工作台'!$K$2:$K$91,'评分工作台'!$D$2:$D$91,A2,'评分工作台'!$R$2:$R$91,"已评分",'评分工作台'!$Q$2:$Q$91,"无")/D2)</x:f>
      </x:c>
      <x:c r="J2" s="1" t="str">
        <x:f>IF(OR(A2="",B2&lt;&gt;"GSB"),"",COUNTIFS('评分工作台'!$D$2:$D$91,$A2,'评分工作台'!$R$2:$R$91,"已评分",'评分工作台'!$Q$2:$Q$91,"无",'评分工作台'!$L$2:$L$91,"G"))</x:f>
      </x:c>
      <x:c r="K2" s="1" t="str">
        <x:f>IF(OR(A2="",B2&lt;&gt;"GSB"),"",COUNTIFS('评分工作台'!$D$2:$D$91,$A2,'评分工作台'!$R$2:$R$91,"已评分",'评分工作台'!$Q$2:$Q$91,"无",'评分工作台'!$L$2:$L$91,"S"))</x:f>
      </x:c>
      <x:c r="L2" s="1" t="str">
        <x:f>IF(OR(A2="",B2&lt;&gt;"GSB"),"",COUNTIFS('评分工作台'!$D$2:$D$91,$A2,'评分工作台'!$R$2:$R$91,"已评分",'评分工作台'!$Q$2:$Q$91,"无",'评分工作台'!$L$2:$L$91,"B"))</x:f>
      </x:c>
      <x:c r="M2" s="1" t="str">
        <x:f>IF(A2="","",COUNTIFS('评分工作台'!$D$2:$D$91,$A2,'评分工作台'!$N$2:$N$91,"不通过",'评分工作台'!$Q$2:$Q$91,"无"))</x:f>
      </x:c>
      <x:c r="N2" s="1" t="str">
        <x:f>IF(A2="","",IF(M2&gt;0,"存在候选否决",IF(F2&gt;0,"样本待修订",IF(C2=0,"待分配样本",IF(D2+E2&lt;C2,"待完成",IF(D2=0,"全部不适用","评分完成；按已确认阈值判定"))))))</x:f>
      </x:c>
    </x:row>
    <x:row r="3" ht="28" customHeight="1">
      <x:c r="A3" s="5" t="str">
        <x:f>IF('评分标准'!A3="","",'评分标准'!A3)</x:f>
      </x:c>
      <x:c r="B3" s="5" t="str">
        <x:f>IF(A3="","",'评分标准'!D3)</x:f>
      </x:c>
      <x:c r="C3" s="5" t="str">
        <x:f>IF(A3="","",COUNTIFS('评分工作台'!$D$2:$D$91,$A3,'评分工作台'!$A$2:$A$91,"&lt;&gt;"))</x:f>
      </x:c>
      <x:c r="D3" s="5" t="str">
        <x:f>IF(A3="","",COUNTIFS('评分工作台'!$D$2:$D$91,$A3,'评分工作台'!$R$2:$R$91,"已评分",'评分工作台'!$Q$2:$Q$91,"无"))</x:f>
      </x:c>
      <x:c r="E3" s="5" t="str">
        <x:f>IF(A3="","",COUNTIFS('评分工作台'!$D$2:$D$91,$A3,'评分工作台'!$R$2:$R$91,"不适用",'评分工作台'!$Q$2:$Q$91,"无"))</x:f>
      </x:c>
      <x:c r="F3" s="5" t="str">
        <x:f>IF(A3="","",COUNTIFS('评分工作台'!$D$2:$D$91,$A3,'评分工作台'!$R$2:$R$91,"样本待修订"))</x:f>
      </x:c>
      <x:c r="G3" s="9" t="str">
        <x:f>IF(OR(A3="",C3-E3=0),"",D3/(C3-E3))</x:f>
      </x:c>
      <x:c r="H3" s="9" t="str">
        <x:f>IF(OR(A3="",B3&lt;&gt;"二值",COUNTIFS('评分工作台'!$D$2:$D$91,$A3,'评分工作台'!$R$2:$R$91,"已评分",'评分工作台'!$Q$2:$Q$91,"无",'评分工作台'!$K$2:$K$91,"通过")+COUNTIFS('评分工作台'!$D$2:$D$91,$A3,'评分工作台'!$R$2:$R$91,"已评分",'评分工作台'!$Q$2:$Q$91,"无",'评分工作台'!$K$2:$K$91,"不通过")=0),"",COUNTIFS('评分工作台'!$D$2:$D$91,$A3,'评分工作台'!$R$2:$R$91,"已评分",'评分工作台'!$Q$2:$Q$91,"无",'评分工作台'!$K$2:$K$91,"通过")/(COUNTIFS('评分工作台'!$D$2:$D$91,$A3,'评分工作台'!$R$2:$R$91,"已评分",'评分工作台'!$Q$2:$Q$91,"无",'评分工作台'!$K$2:$K$91,"通过")+COUNTIFS('评分工作台'!$D$2:$D$91,$A3,'评分工作台'!$R$2:$R$91,"已评分",'评分工作台'!$Q$2:$Q$91,"无",'评分工作台'!$K$2:$K$91,"不通过")))</x:f>
      </x:c>
      <x:c r="I3" s="11" t="str">
        <x:f>IF(OR(A3="",B3&lt;&gt;"1-5",D3=0),"",SUMIFS('评分工作台'!$K$2:$K$91,'评分工作台'!$D$2:$D$91,A3,'评分工作台'!$R$2:$R$91,"已评分",'评分工作台'!$Q$2:$Q$91,"无")/D3)</x:f>
      </x:c>
      <x:c r="J3" s="5" t="str">
        <x:f>IF(OR(A3="",B3&lt;&gt;"GSB"),"",COUNTIFS('评分工作台'!$D$2:$D$91,$A3,'评分工作台'!$R$2:$R$91,"已评分",'评分工作台'!$Q$2:$Q$91,"无",'评分工作台'!$L$2:$L$91,"G"))</x:f>
      </x:c>
      <x:c r="K3" s="5" t="str">
        <x:f>IF(OR(A3="",B3&lt;&gt;"GSB"),"",COUNTIFS('评分工作台'!$D$2:$D$91,$A3,'评分工作台'!$R$2:$R$91,"已评分",'评分工作台'!$Q$2:$Q$91,"无",'评分工作台'!$L$2:$L$91,"S"))</x:f>
      </x:c>
      <x:c r="L3" s="5" t="str">
        <x:f>IF(OR(A3="",B3&lt;&gt;"GSB"),"",COUNTIFS('评分工作台'!$D$2:$D$91,$A3,'评分工作台'!$R$2:$R$91,"已评分",'评分工作台'!$Q$2:$Q$91,"无",'评分工作台'!$L$2:$L$91,"B"))</x:f>
      </x:c>
      <x:c r="M3" s="5" t="str">
        <x:f>IF(A3="","",COUNTIFS('评分工作台'!$D$2:$D$91,$A3,'评分工作台'!$N$2:$N$91,"不通过",'评分工作台'!$Q$2:$Q$91,"无"))</x:f>
      </x:c>
      <x:c r="N3" s="5" t="str">
        <x:f>IF(A3="","",IF(M3&gt;0,"存在候选否决",IF(F3&gt;0,"样本待修订",IF(C3=0,"待分配样本",IF(D3+E3&lt;C3,"待完成",IF(D3=0,"全部不适用","评分完成；按已确认阈值判定"))))))</x:f>
      </x:c>
    </x:row>
    <x:row r="4" ht="28" customHeight="1">
      <x:c r="A4" s="1" t="str">
        <x:f>IF('评分标准'!A4="","",'评分标准'!A4)</x:f>
      </x:c>
      <x:c r="B4" s="1" t="str">
        <x:f>IF(A4="","",'评分标准'!D4)</x:f>
      </x:c>
      <x:c r="C4" s="1" t="str">
        <x:f>IF(A4="","",COUNTIFS('评分工作台'!$D$2:$D$91,$A4,'评分工作台'!$A$2:$A$91,"&lt;&gt;"))</x:f>
      </x:c>
      <x:c r="D4" s="1" t="str">
        <x:f>IF(A4="","",COUNTIFS('评分工作台'!$D$2:$D$91,$A4,'评分工作台'!$R$2:$R$91,"已评分",'评分工作台'!$Q$2:$Q$91,"无"))</x:f>
      </x:c>
      <x:c r="E4" s="1" t="str">
        <x:f>IF(A4="","",COUNTIFS('评分工作台'!$D$2:$D$91,$A4,'评分工作台'!$R$2:$R$91,"不适用",'评分工作台'!$Q$2:$Q$91,"无"))</x:f>
      </x:c>
      <x:c r="F4" s="1" t="str">
        <x:f>IF(A4="","",COUNTIFS('评分工作台'!$D$2:$D$91,$A4,'评分工作台'!$R$2:$R$91,"样本待修订"))</x:f>
      </x:c>
      <x:c r="G4" s="8" t="str">
        <x:f>IF(OR(A4="",C4-E4=0),"",D4/(C4-E4))</x:f>
      </x:c>
      <x:c r="H4" s="8" t="str">
        <x:f>IF(OR(A4="",B4&lt;&gt;"二值",COUNTIFS('评分工作台'!$D$2:$D$91,$A4,'评分工作台'!$R$2:$R$91,"已评分",'评分工作台'!$Q$2:$Q$91,"无",'评分工作台'!$K$2:$K$91,"通过")+COUNTIFS('评分工作台'!$D$2:$D$91,$A4,'评分工作台'!$R$2:$R$91,"已评分",'评分工作台'!$Q$2:$Q$91,"无",'评分工作台'!$K$2:$K$91,"不通过")=0),"",COUNTIFS('评分工作台'!$D$2:$D$91,$A4,'评分工作台'!$R$2:$R$91,"已评分",'评分工作台'!$Q$2:$Q$91,"无",'评分工作台'!$K$2:$K$91,"通过")/(COUNTIFS('评分工作台'!$D$2:$D$91,$A4,'评分工作台'!$R$2:$R$91,"已评分",'评分工作台'!$Q$2:$Q$91,"无",'评分工作台'!$K$2:$K$91,"通过")+COUNTIFS('评分工作台'!$D$2:$D$91,$A4,'评分工作台'!$R$2:$R$91,"已评分",'评分工作台'!$Q$2:$Q$91,"无",'评分工作台'!$K$2:$K$91,"不通过")))</x:f>
      </x:c>
      <x:c r="I4" s="10" t="str">
        <x:f>IF(OR(A4="",B4&lt;&gt;"1-5",D4=0),"",SUMIFS('评分工作台'!$K$2:$K$91,'评分工作台'!$D$2:$D$91,A4,'评分工作台'!$R$2:$R$91,"已评分",'评分工作台'!$Q$2:$Q$91,"无")/D4)</x:f>
      </x:c>
      <x:c r="J4" s="1" t="str">
        <x:f>IF(OR(A4="",B4&lt;&gt;"GSB"),"",COUNTIFS('评分工作台'!$D$2:$D$91,$A4,'评分工作台'!$R$2:$R$91,"已评分",'评分工作台'!$Q$2:$Q$91,"无",'评分工作台'!$L$2:$L$91,"G"))</x:f>
      </x:c>
      <x:c r="K4" s="1" t="str">
        <x:f>IF(OR(A4="",B4&lt;&gt;"GSB"),"",COUNTIFS('评分工作台'!$D$2:$D$91,$A4,'评分工作台'!$R$2:$R$91,"已评分",'评分工作台'!$Q$2:$Q$91,"无",'评分工作台'!$L$2:$L$91,"S"))</x:f>
      </x:c>
      <x:c r="L4" s="1" t="str">
        <x:f>IF(OR(A4="",B4&lt;&gt;"GSB"),"",COUNTIFS('评分工作台'!$D$2:$D$91,$A4,'评分工作台'!$R$2:$R$91,"已评分",'评分工作台'!$Q$2:$Q$91,"无",'评分工作台'!$L$2:$L$91,"B"))</x:f>
      </x:c>
      <x:c r="M4" s="1" t="str">
        <x:f>IF(A4="","",COUNTIFS('评分工作台'!$D$2:$D$91,$A4,'评分工作台'!$N$2:$N$91,"不通过",'评分工作台'!$Q$2:$Q$91,"无"))</x:f>
      </x:c>
      <x:c r="N4" s="1" t="str">
        <x:f>IF(A4="","",IF(M4&gt;0,"存在候选否决",IF(F4&gt;0,"样本待修订",IF(C4=0,"待分配样本",IF(D4+E4&lt;C4,"待完成",IF(D4=0,"全部不适用","评分完成；按已确认阈值判定"))))))</x:f>
      </x:c>
    </x:row>
    <x:row r="5" ht="28" customHeight="1">
      <x:c r="A5" s="5" t="str">
        <x:f>IF('评分标准'!A5="","",'评分标准'!A5)</x:f>
      </x:c>
      <x:c r="B5" s="5" t="str">
        <x:f>IF(A5="","",'评分标准'!D5)</x:f>
      </x:c>
      <x:c r="C5" s="5" t="str">
        <x:f>IF(A5="","",COUNTIFS('评分工作台'!$D$2:$D$91,$A5,'评分工作台'!$A$2:$A$91,"&lt;&gt;"))</x:f>
      </x:c>
      <x:c r="D5" s="5" t="str">
        <x:f>IF(A5="","",COUNTIFS('评分工作台'!$D$2:$D$91,$A5,'评分工作台'!$R$2:$R$91,"已评分",'评分工作台'!$Q$2:$Q$91,"无"))</x:f>
      </x:c>
      <x:c r="E5" s="5" t="str">
        <x:f>IF(A5="","",COUNTIFS('评分工作台'!$D$2:$D$91,$A5,'评分工作台'!$R$2:$R$91,"不适用",'评分工作台'!$Q$2:$Q$91,"无"))</x:f>
      </x:c>
      <x:c r="F5" s="5" t="str">
        <x:f>IF(A5="","",COUNTIFS('评分工作台'!$D$2:$D$91,$A5,'评分工作台'!$R$2:$R$91,"样本待修订"))</x:f>
      </x:c>
      <x:c r="G5" s="9" t="str">
        <x:f>IF(OR(A5="",C5-E5=0),"",D5/(C5-E5))</x:f>
      </x:c>
      <x:c r="H5" s="9" t="str">
        <x:f>IF(OR(A5="",B5&lt;&gt;"二值",COUNTIFS('评分工作台'!$D$2:$D$91,$A5,'评分工作台'!$R$2:$R$91,"已评分",'评分工作台'!$Q$2:$Q$91,"无",'评分工作台'!$K$2:$K$91,"通过")+COUNTIFS('评分工作台'!$D$2:$D$91,$A5,'评分工作台'!$R$2:$R$91,"已评分",'评分工作台'!$Q$2:$Q$91,"无",'评分工作台'!$K$2:$K$91,"不通过")=0),"",COUNTIFS('评分工作台'!$D$2:$D$91,$A5,'评分工作台'!$R$2:$R$91,"已评分",'评分工作台'!$Q$2:$Q$91,"无",'评分工作台'!$K$2:$K$91,"通过")/(COUNTIFS('评分工作台'!$D$2:$D$91,$A5,'评分工作台'!$R$2:$R$91,"已评分",'评分工作台'!$Q$2:$Q$91,"无",'评分工作台'!$K$2:$K$91,"通过")+COUNTIFS('评分工作台'!$D$2:$D$91,$A5,'评分工作台'!$R$2:$R$91,"已评分",'评分工作台'!$Q$2:$Q$91,"无",'评分工作台'!$K$2:$K$91,"不通过")))</x:f>
      </x:c>
      <x:c r="I5" s="11" t="str">
        <x:f>IF(OR(A5="",B5&lt;&gt;"1-5",D5=0),"",SUMIFS('评分工作台'!$K$2:$K$91,'评分工作台'!$D$2:$D$91,A5,'评分工作台'!$R$2:$R$91,"已评分",'评分工作台'!$Q$2:$Q$91,"无")/D5)</x:f>
      </x:c>
      <x:c r="J5" s="5" t="str">
        <x:f>IF(OR(A5="",B5&lt;&gt;"GSB"),"",COUNTIFS('评分工作台'!$D$2:$D$91,$A5,'评分工作台'!$R$2:$R$91,"已评分",'评分工作台'!$Q$2:$Q$91,"无",'评分工作台'!$L$2:$L$91,"G"))</x:f>
      </x:c>
      <x:c r="K5" s="5" t="str">
        <x:f>IF(OR(A5="",B5&lt;&gt;"GSB"),"",COUNTIFS('评分工作台'!$D$2:$D$91,$A5,'评分工作台'!$R$2:$R$91,"已评分",'评分工作台'!$Q$2:$Q$91,"无",'评分工作台'!$L$2:$L$91,"S"))</x:f>
      </x:c>
      <x:c r="L5" s="5" t="str">
        <x:f>IF(OR(A5="",B5&lt;&gt;"GSB"),"",COUNTIFS('评分工作台'!$D$2:$D$91,$A5,'评分工作台'!$R$2:$R$91,"已评分",'评分工作台'!$Q$2:$Q$91,"无",'评分工作台'!$L$2:$L$91,"B"))</x:f>
      </x:c>
      <x:c r="M5" s="5" t="str">
        <x:f>IF(A5="","",COUNTIFS('评分工作台'!$D$2:$D$91,$A5,'评分工作台'!$N$2:$N$91,"不通过",'评分工作台'!$Q$2:$Q$91,"无"))</x:f>
      </x:c>
      <x:c r="N5" s="5" t="str">
        <x:f>IF(A5="","",IF(M5&gt;0,"存在候选否决",IF(F5&gt;0,"样本待修订",IF(C5=0,"待分配样本",IF(D5+E5&lt;C5,"待完成",IF(D5=0,"全部不适用","评分完成；按已确认阈值判定"))))))</x:f>
      </x:c>
    </x:row>
    <x:row r="6" ht="28" customHeight="1">
      <x:c r="A6" s="1" t="str">
        <x:f>IF('评分标准'!A6="","",'评分标准'!A6)</x:f>
      </x:c>
      <x:c r="B6" s="1" t="str">
        <x:f>IF(A6="","",'评分标准'!D6)</x:f>
      </x:c>
      <x:c r="C6" s="1" t="str">
        <x:f>IF(A6="","",COUNTIFS('评分工作台'!$D$2:$D$91,$A6,'评分工作台'!$A$2:$A$91,"&lt;&gt;"))</x:f>
      </x:c>
      <x:c r="D6" s="1" t="str">
        <x:f>IF(A6="","",COUNTIFS('评分工作台'!$D$2:$D$91,$A6,'评分工作台'!$R$2:$R$91,"已评分",'评分工作台'!$Q$2:$Q$91,"无"))</x:f>
      </x:c>
      <x:c r="E6" s="1" t="str">
        <x:f>IF(A6="","",COUNTIFS('评分工作台'!$D$2:$D$91,$A6,'评分工作台'!$R$2:$R$91,"不适用",'评分工作台'!$Q$2:$Q$91,"无"))</x:f>
      </x:c>
      <x:c r="F6" s="1" t="str">
        <x:f>IF(A6="","",COUNTIFS('评分工作台'!$D$2:$D$91,$A6,'评分工作台'!$R$2:$R$91,"样本待修订"))</x:f>
      </x:c>
      <x:c r="G6" s="8" t="str">
        <x:f>IF(OR(A6="",C6-E6=0),"",D6/(C6-E6))</x:f>
      </x:c>
      <x:c r="H6" s="8" t="str">
        <x:f>IF(OR(A6="",B6&lt;&gt;"二值",COUNTIFS('评分工作台'!$D$2:$D$91,$A6,'评分工作台'!$R$2:$R$91,"已评分",'评分工作台'!$Q$2:$Q$91,"无",'评分工作台'!$K$2:$K$91,"通过")+COUNTIFS('评分工作台'!$D$2:$D$91,$A6,'评分工作台'!$R$2:$R$91,"已评分",'评分工作台'!$Q$2:$Q$91,"无",'评分工作台'!$K$2:$K$91,"不通过")=0),"",COUNTIFS('评分工作台'!$D$2:$D$91,$A6,'评分工作台'!$R$2:$R$91,"已评分",'评分工作台'!$Q$2:$Q$91,"无",'评分工作台'!$K$2:$K$91,"通过")/(COUNTIFS('评分工作台'!$D$2:$D$91,$A6,'评分工作台'!$R$2:$R$91,"已评分",'评分工作台'!$Q$2:$Q$91,"无",'评分工作台'!$K$2:$K$91,"通过")+COUNTIFS('评分工作台'!$D$2:$D$91,$A6,'评分工作台'!$R$2:$R$91,"已评分",'评分工作台'!$Q$2:$Q$91,"无",'评分工作台'!$K$2:$K$91,"不通过")))</x:f>
      </x:c>
      <x:c r="I6" s="10" t="str">
        <x:f>IF(OR(A6="",B6&lt;&gt;"1-5",D6=0),"",SUMIFS('评分工作台'!$K$2:$K$91,'评分工作台'!$D$2:$D$91,A6,'评分工作台'!$R$2:$R$91,"已评分",'评分工作台'!$Q$2:$Q$91,"无")/D6)</x:f>
      </x:c>
      <x:c r="J6" s="1" t="str">
        <x:f>IF(OR(A6="",B6&lt;&gt;"GSB"),"",COUNTIFS('评分工作台'!$D$2:$D$91,$A6,'评分工作台'!$R$2:$R$91,"已评分",'评分工作台'!$Q$2:$Q$91,"无",'评分工作台'!$L$2:$L$91,"G"))</x:f>
      </x:c>
      <x:c r="K6" s="1" t="str">
        <x:f>IF(OR(A6="",B6&lt;&gt;"GSB"),"",COUNTIFS('评分工作台'!$D$2:$D$91,$A6,'评分工作台'!$R$2:$R$91,"已评分",'评分工作台'!$Q$2:$Q$91,"无",'评分工作台'!$L$2:$L$91,"S"))</x:f>
      </x:c>
      <x:c r="L6" s="1" t="str">
        <x:f>IF(OR(A6="",B6&lt;&gt;"GSB"),"",COUNTIFS('评分工作台'!$D$2:$D$91,$A6,'评分工作台'!$R$2:$R$91,"已评分",'评分工作台'!$Q$2:$Q$91,"无",'评分工作台'!$L$2:$L$91,"B"))</x:f>
      </x:c>
      <x:c r="M6" s="1" t="str">
        <x:f>IF(A6="","",COUNTIFS('评分工作台'!$D$2:$D$91,$A6,'评分工作台'!$N$2:$N$91,"不通过",'评分工作台'!$Q$2:$Q$91,"无"))</x:f>
      </x:c>
      <x:c r="N6" s="1" t="str">
        <x:f>IF(A6="","",IF(M6&gt;0,"存在候选否决",IF(F6&gt;0,"样本待修订",IF(C6=0,"待分配样本",IF(D6+E6&lt;C6,"待完成",IF(D6=0,"全部不适用","评分完成；按已确认阈值判定"))))))</x:f>
      </x:c>
    </x:row>
    <x:row r="7" ht="28" customHeight="1">
      <x:c r="A7" s="5" t="str">
        <x:f>IF('评分标准'!A7="","",'评分标准'!A7)</x:f>
      </x:c>
      <x:c r="B7" s="5" t="str">
        <x:f>IF(A7="","",'评分标准'!D7)</x:f>
      </x:c>
      <x:c r="C7" s="5" t="str">
        <x:f>IF(A7="","",COUNTIFS('评分工作台'!$D$2:$D$91,$A7,'评分工作台'!$A$2:$A$91,"&lt;&gt;"))</x:f>
      </x:c>
      <x:c r="D7" s="5" t="str">
        <x:f>IF(A7="","",COUNTIFS('评分工作台'!$D$2:$D$91,$A7,'评分工作台'!$R$2:$R$91,"已评分",'评分工作台'!$Q$2:$Q$91,"无"))</x:f>
      </x:c>
      <x:c r="E7" s="5" t="str">
        <x:f>IF(A7="","",COUNTIFS('评分工作台'!$D$2:$D$91,$A7,'评分工作台'!$R$2:$R$91,"不适用",'评分工作台'!$Q$2:$Q$91,"无"))</x:f>
      </x:c>
      <x:c r="F7" s="5" t="str">
        <x:f>IF(A7="","",COUNTIFS('评分工作台'!$D$2:$D$91,$A7,'评分工作台'!$R$2:$R$91,"样本待修订"))</x:f>
      </x:c>
      <x:c r="G7" s="9" t="str">
        <x:f>IF(OR(A7="",C7-E7=0),"",D7/(C7-E7))</x:f>
      </x:c>
      <x:c r="H7" s="9" t="str">
        <x:f>IF(OR(A7="",B7&lt;&gt;"二值",COUNTIFS('评分工作台'!$D$2:$D$91,$A7,'评分工作台'!$R$2:$R$91,"已评分",'评分工作台'!$Q$2:$Q$91,"无",'评分工作台'!$K$2:$K$91,"通过")+COUNTIFS('评分工作台'!$D$2:$D$91,$A7,'评分工作台'!$R$2:$R$91,"已评分",'评分工作台'!$Q$2:$Q$91,"无",'评分工作台'!$K$2:$K$91,"不通过")=0),"",COUNTIFS('评分工作台'!$D$2:$D$91,$A7,'评分工作台'!$R$2:$R$91,"已评分",'评分工作台'!$Q$2:$Q$91,"无",'评分工作台'!$K$2:$K$91,"通过")/(COUNTIFS('评分工作台'!$D$2:$D$91,$A7,'评分工作台'!$R$2:$R$91,"已评分",'评分工作台'!$Q$2:$Q$91,"无",'评分工作台'!$K$2:$K$91,"通过")+COUNTIFS('评分工作台'!$D$2:$D$91,$A7,'评分工作台'!$R$2:$R$91,"已评分",'评分工作台'!$Q$2:$Q$91,"无",'评分工作台'!$K$2:$K$91,"不通过")))</x:f>
      </x:c>
      <x:c r="I7" s="11" t="str">
        <x:f>IF(OR(A7="",B7&lt;&gt;"1-5",D7=0),"",SUMIFS('评分工作台'!$K$2:$K$91,'评分工作台'!$D$2:$D$91,A7,'评分工作台'!$R$2:$R$91,"已评分",'评分工作台'!$Q$2:$Q$91,"无")/D7)</x:f>
      </x:c>
      <x:c r="J7" s="5" t="str">
        <x:f>IF(OR(A7="",B7&lt;&gt;"GSB"),"",COUNTIFS('评分工作台'!$D$2:$D$91,$A7,'评分工作台'!$R$2:$R$91,"已评分",'评分工作台'!$Q$2:$Q$91,"无",'评分工作台'!$L$2:$L$91,"G"))</x:f>
      </x:c>
      <x:c r="K7" s="5" t="str">
        <x:f>IF(OR(A7="",B7&lt;&gt;"GSB"),"",COUNTIFS('评分工作台'!$D$2:$D$91,$A7,'评分工作台'!$R$2:$R$91,"已评分",'评分工作台'!$Q$2:$Q$91,"无",'评分工作台'!$L$2:$L$91,"S"))</x:f>
      </x:c>
      <x:c r="L7" s="5" t="str">
        <x:f>IF(OR(A7="",B7&lt;&gt;"GSB"),"",COUNTIFS('评分工作台'!$D$2:$D$91,$A7,'评分工作台'!$R$2:$R$91,"已评分",'评分工作台'!$Q$2:$Q$91,"无",'评分工作台'!$L$2:$L$91,"B"))</x:f>
      </x:c>
      <x:c r="M7" s="5" t="str">
        <x:f>IF(A7="","",COUNTIFS('评分工作台'!$D$2:$D$91,$A7,'评分工作台'!$N$2:$N$91,"不通过",'评分工作台'!$Q$2:$Q$91,"无"))</x:f>
      </x:c>
      <x:c r="N7" s="5" t="str">
        <x:f>IF(A7="","",IF(M7&gt;0,"存在候选否决",IF(F7&gt;0,"样本待修订",IF(C7=0,"待分配样本",IF(D7+E7&lt;C7,"待完成",IF(D7=0,"全部不适用","评分完成；按已确认阈值判定"))))))</x:f>
      </x:c>
    </x:row>
    <x:row r="8" ht="28" customHeight="1">
      <x:c r="A8" s="1" t="str">
        <x:f>IF('评分标准'!A8="","",'评分标准'!A8)</x:f>
      </x:c>
      <x:c r="B8" s="1" t="str">
        <x:f>IF(A8="","",'评分标准'!D8)</x:f>
      </x:c>
      <x:c r="C8" s="1" t="str">
        <x:f>IF(A8="","",COUNTIFS('评分工作台'!$D$2:$D$91,$A8,'评分工作台'!$A$2:$A$91,"&lt;&gt;"))</x:f>
      </x:c>
      <x:c r="D8" s="1" t="str">
        <x:f>IF(A8="","",COUNTIFS('评分工作台'!$D$2:$D$91,$A8,'评分工作台'!$R$2:$R$91,"已评分",'评分工作台'!$Q$2:$Q$91,"无"))</x:f>
      </x:c>
      <x:c r="E8" s="1" t="str">
        <x:f>IF(A8="","",COUNTIFS('评分工作台'!$D$2:$D$91,$A8,'评分工作台'!$R$2:$R$91,"不适用",'评分工作台'!$Q$2:$Q$91,"无"))</x:f>
      </x:c>
      <x:c r="F8" s="1" t="str">
        <x:f>IF(A8="","",COUNTIFS('评分工作台'!$D$2:$D$91,$A8,'评分工作台'!$R$2:$R$91,"样本待修订"))</x:f>
      </x:c>
      <x:c r="G8" s="8" t="str">
        <x:f>IF(OR(A8="",C8-E8=0),"",D8/(C8-E8))</x:f>
      </x:c>
      <x:c r="H8" s="8" t="str">
        <x:f>IF(OR(A8="",B8&lt;&gt;"二值",COUNTIFS('评分工作台'!$D$2:$D$91,$A8,'评分工作台'!$R$2:$R$91,"已评分",'评分工作台'!$Q$2:$Q$91,"无",'评分工作台'!$K$2:$K$91,"通过")+COUNTIFS('评分工作台'!$D$2:$D$91,$A8,'评分工作台'!$R$2:$R$91,"已评分",'评分工作台'!$Q$2:$Q$91,"无",'评分工作台'!$K$2:$K$91,"不通过")=0),"",COUNTIFS('评分工作台'!$D$2:$D$91,$A8,'评分工作台'!$R$2:$R$91,"已评分",'评分工作台'!$Q$2:$Q$91,"无",'评分工作台'!$K$2:$K$91,"通过")/(COUNTIFS('评分工作台'!$D$2:$D$91,$A8,'评分工作台'!$R$2:$R$91,"已评分",'评分工作台'!$Q$2:$Q$91,"无",'评分工作台'!$K$2:$K$91,"通过")+COUNTIFS('评分工作台'!$D$2:$D$91,$A8,'评分工作台'!$R$2:$R$91,"已评分",'评分工作台'!$Q$2:$Q$91,"无",'评分工作台'!$K$2:$K$91,"不通过")))</x:f>
      </x:c>
      <x:c r="I8" s="10" t="str">
        <x:f>IF(OR(A8="",B8&lt;&gt;"1-5",D8=0),"",SUMIFS('评分工作台'!$K$2:$K$91,'评分工作台'!$D$2:$D$91,A8,'评分工作台'!$R$2:$R$91,"已评分",'评分工作台'!$Q$2:$Q$91,"无")/D8)</x:f>
      </x:c>
      <x:c r="J8" s="1" t="str">
        <x:f>IF(OR(A8="",B8&lt;&gt;"GSB"),"",COUNTIFS('评分工作台'!$D$2:$D$91,$A8,'评分工作台'!$R$2:$R$91,"已评分",'评分工作台'!$Q$2:$Q$91,"无",'评分工作台'!$L$2:$L$91,"G"))</x:f>
      </x:c>
      <x:c r="K8" s="1" t="str">
        <x:f>IF(OR(A8="",B8&lt;&gt;"GSB"),"",COUNTIFS('评分工作台'!$D$2:$D$91,$A8,'评分工作台'!$R$2:$R$91,"已评分",'评分工作台'!$Q$2:$Q$91,"无",'评分工作台'!$L$2:$L$91,"S"))</x:f>
      </x:c>
      <x:c r="L8" s="1" t="str">
        <x:f>IF(OR(A8="",B8&lt;&gt;"GSB"),"",COUNTIFS('评分工作台'!$D$2:$D$91,$A8,'评分工作台'!$R$2:$R$91,"已评分",'评分工作台'!$Q$2:$Q$91,"无",'评分工作台'!$L$2:$L$91,"B"))</x:f>
      </x:c>
      <x:c r="M8" s="1" t="str">
        <x:f>IF(A8="","",COUNTIFS('评分工作台'!$D$2:$D$91,$A8,'评分工作台'!$N$2:$N$91,"不通过",'评分工作台'!$Q$2:$Q$91,"无"))</x:f>
      </x:c>
      <x:c r="N8" s="1" t="str">
        <x:f>IF(A8="","",IF(M8&gt;0,"存在候选否决",IF(F8&gt;0,"样本待修订",IF(C8=0,"待分配样本",IF(D8+E8&lt;C8,"待完成",IF(D8=0,"全部不适用","评分完成；按已确认阈值判定"))))))</x:f>
      </x:c>
    </x:row>
    <x:row r="9" ht="28" customHeight="1">
      <x:c r="A9" s="5" t="str">
        <x:f>IF('评分标准'!A9="","",'评分标准'!A9)</x:f>
      </x:c>
      <x:c r="B9" s="5" t="str">
        <x:f>IF(A9="","",'评分标准'!D9)</x:f>
      </x:c>
      <x:c r="C9" s="5" t="str">
        <x:f>IF(A9="","",COUNTIFS('评分工作台'!$D$2:$D$91,$A9,'评分工作台'!$A$2:$A$91,"&lt;&gt;"))</x:f>
      </x:c>
      <x:c r="D9" s="5" t="str">
        <x:f>IF(A9="","",COUNTIFS('评分工作台'!$D$2:$D$91,$A9,'评分工作台'!$R$2:$R$91,"已评分",'评分工作台'!$Q$2:$Q$91,"无"))</x:f>
      </x:c>
      <x:c r="E9" s="5" t="str">
        <x:f>IF(A9="","",COUNTIFS('评分工作台'!$D$2:$D$91,$A9,'评分工作台'!$R$2:$R$91,"不适用",'评分工作台'!$Q$2:$Q$91,"无"))</x:f>
      </x:c>
      <x:c r="F9" s="5" t="str">
        <x:f>IF(A9="","",COUNTIFS('评分工作台'!$D$2:$D$91,$A9,'评分工作台'!$R$2:$R$91,"样本待修订"))</x:f>
      </x:c>
      <x:c r="G9" s="9" t="str">
        <x:f>IF(OR(A9="",C9-E9=0),"",D9/(C9-E9))</x:f>
      </x:c>
      <x:c r="H9" s="9" t="str">
        <x:f>IF(OR(A9="",B9&lt;&gt;"二值",COUNTIFS('评分工作台'!$D$2:$D$91,$A9,'评分工作台'!$R$2:$R$91,"已评分",'评分工作台'!$Q$2:$Q$91,"无",'评分工作台'!$K$2:$K$91,"通过")+COUNTIFS('评分工作台'!$D$2:$D$91,$A9,'评分工作台'!$R$2:$R$91,"已评分",'评分工作台'!$Q$2:$Q$91,"无",'评分工作台'!$K$2:$K$91,"不通过")=0),"",COUNTIFS('评分工作台'!$D$2:$D$91,$A9,'评分工作台'!$R$2:$R$91,"已评分",'评分工作台'!$Q$2:$Q$91,"无",'评分工作台'!$K$2:$K$91,"通过")/(COUNTIFS('评分工作台'!$D$2:$D$91,$A9,'评分工作台'!$R$2:$R$91,"已评分",'评分工作台'!$Q$2:$Q$91,"无",'评分工作台'!$K$2:$K$91,"通过")+COUNTIFS('评分工作台'!$D$2:$D$91,$A9,'评分工作台'!$R$2:$R$91,"已评分",'评分工作台'!$Q$2:$Q$91,"无",'评分工作台'!$K$2:$K$91,"不通过")))</x:f>
      </x:c>
      <x:c r="I9" s="11" t="str">
        <x:f>IF(OR(A9="",B9&lt;&gt;"1-5",D9=0),"",SUMIFS('评分工作台'!$K$2:$K$91,'评分工作台'!$D$2:$D$91,A9,'评分工作台'!$R$2:$R$91,"已评分",'评分工作台'!$Q$2:$Q$91,"无")/D9)</x:f>
      </x:c>
      <x:c r="J9" s="5" t="str">
        <x:f>IF(OR(A9="",B9&lt;&gt;"GSB"),"",COUNTIFS('评分工作台'!$D$2:$D$91,$A9,'评分工作台'!$R$2:$R$91,"已评分",'评分工作台'!$Q$2:$Q$91,"无",'评分工作台'!$L$2:$L$91,"G"))</x:f>
      </x:c>
      <x:c r="K9" s="5" t="str">
        <x:f>IF(OR(A9="",B9&lt;&gt;"GSB"),"",COUNTIFS('评分工作台'!$D$2:$D$91,$A9,'评分工作台'!$R$2:$R$91,"已评分",'评分工作台'!$Q$2:$Q$91,"无",'评分工作台'!$L$2:$L$91,"S"))</x:f>
      </x:c>
      <x:c r="L9" s="5" t="str">
        <x:f>IF(OR(A9="",B9&lt;&gt;"GSB"),"",COUNTIFS('评分工作台'!$D$2:$D$91,$A9,'评分工作台'!$R$2:$R$91,"已评分",'评分工作台'!$Q$2:$Q$91,"无",'评分工作台'!$L$2:$L$91,"B"))</x:f>
      </x:c>
      <x:c r="M9" s="5" t="str">
        <x:f>IF(A9="","",COUNTIFS('评分工作台'!$D$2:$D$91,$A9,'评分工作台'!$N$2:$N$91,"不通过",'评分工作台'!$Q$2:$Q$91,"无"))</x:f>
      </x:c>
      <x:c r="N9" s="5" t="str">
        <x:f>IF(A9="","",IF(M9&gt;0,"存在候选否决",IF(F9&gt;0,"样本待修订",IF(C9=0,"待分配样本",IF(D9+E9&lt;C9,"待完成",IF(D9=0,"全部不适用","评分完成；按已确认阈值判定"))))))</x:f>
      </x:c>
    </x:row>
    <x:row r="10" ht="28" customHeight="1">
      <x:c r="A10" s="1" t="str">
        <x:f>IF('评分标准'!A10="","",'评分标准'!A10)</x:f>
      </x:c>
      <x:c r="B10" s="1" t="str">
        <x:f>IF(A10="","",'评分标准'!D10)</x:f>
      </x:c>
      <x:c r="C10" s="1" t="str">
        <x:f>IF(A10="","",COUNTIFS('评分工作台'!$D$2:$D$91,$A10,'评分工作台'!$A$2:$A$91,"&lt;&gt;"))</x:f>
      </x:c>
      <x:c r="D10" s="1" t="str">
        <x:f>IF(A10="","",COUNTIFS('评分工作台'!$D$2:$D$91,$A10,'评分工作台'!$R$2:$R$91,"已评分",'评分工作台'!$Q$2:$Q$91,"无"))</x:f>
      </x:c>
      <x:c r="E10" s="1" t="str">
        <x:f>IF(A10="","",COUNTIFS('评分工作台'!$D$2:$D$91,$A10,'评分工作台'!$R$2:$R$91,"不适用",'评分工作台'!$Q$2:$Q$91,"无"))</x:f>
      </x:c>
      <x:c r="F10" s="1" t="str">
        <x:f>IF(A10="","",COUNTIFS('评分工作台'!$D$2:$D$91,$A10,'评分工作台'!$R$2:$R$91,"样本待修订"))</x:f>
      </x:c>
      <x:c r="G10" s="8" t="str">
        <x:f>IF(OR(A10="",C10-E10=0),"",D10/(C10-E10))</x:f>
      </x:c>
      <x:c r="H10" s="8" t="str">
        <x:f>IF(OR(A10="",B10&lt;&gt;"二值",COUNTIFS('评分工作台'!$D$2:$D$91,$A10,'评分工作台'!$R$2:$R$91,"已评分",'评分工作台'!$Q$2:$Q$91,"无",'评分工作台'!$K$2:$K$91,"通过")+COUNTIFS('评分工作台'!$D$2:$D$91,$A10,'评分工作台'!$R$2:$R$91,"已评分",'评分工作台'!$Q$2:$Q$91,"无",'评分工作台'!$K$2:$K$91,"不通过")=0),"",COUNTIFS('评分工作台'!$D$2:$D$91,$A10,'评分工作台'!$R$2:$R$91,"已评分",'评分工作台'!$Q$2:$Q$91,"无",'评分工作台'!$K$2:$K$91,"通过")/(COUNTIFS('评分工作台'!$D$2:$D$91,$A10,'评分工作台'!$R$2:$R$91,"已评分",'评分工作台'!$Q$2:$Q$91,"无",'评分工作台'!$K$2:$K$91,"通过")+COUNTIFS('评分工作台'!$D$2:$D$91,$A10,'评分工作台'!$R$2:$R$91,"已评分",'评分工作台'!$Q$2:$Q$91,"无",'评分工作台'!$K$2:$K$91,"不通过")))</x:f>
      </x:c>
      <x:c r="I10" s="10" t="str">
        <x:f>IF(OR(A10="",B10&lt;&gt;"1-5",D10=0),"",SUMIFS('评分工作台'!$K$2:$K$91,'评分工作台'!$D$2:$D$91,A10,'评分工作台'!$R$2:$R$91,"已评分",'评分工作台'!$Q$2:$Q$91,"无")/D10)</x:f>
      </x:c>
      <x:c r="J10" s="1" t="str">
        <x:f>IF(OR(A10="",B10&lt;&gt;"GSB"),"",COUNTIFS('评分工作台'!$D$2:$D$91,$A10,'评分工作台'!$R$2:$R$91,"已评分",'评分工作台'!$Q$2:$Q$91,"无",'评分工作台'!$L$2:$L$91,"G"))</x:f>
      </x:c>
      <x:c r="K10" s="1" t="str">
        <x:f>IF(OR(A10="",B10&lt;&gt;"GSB"),"",COUNTIFS('评分工作台'!$D$2:$D$91,$A10,'评分工作台'!$R$2:$R$91,"已评分",'评分工作台'!$Q$2:$Q$91,"无",'评分工作台'!$L$2:$L$91,"S"))</x:f>
      </x:c>
      <x:c r="L10" s="1" t="str">
        <x:f>IF(OR(A10="",B10&lt;&gt;"GSB"),"",COUNTIFS('评分工作台'!$D$2:$D$91,$A10,'评分工作台'!$R$2:$R$91,"已评分",'评分工作台'!$Q$2:$Q$91,"无",'评分工作台'!$L$2:$L$91,"B"))</x:f>
      </x:c>
      <x:c r="M10" s="1" t="str">
        <x:f>IF(A10="","",COUNTIFS('评分工作台'!$D$2:$D$91,$A10,'评分工作台'!$N$2:$N$91,"不通过",'评分工作台'!$Q$2:$Q$91,"无"))</x:f>
      </x:c>
      <x:c r="N10" s="1" t="str">
        <x:f>IF(A10="","",IF(M10&gt;0,"存在候选否决",IF(F10&gt;0,"样本待修订",IF(C10=0,"待分配样本",IF(D10+E10&lt;C10,"待完成",IF(D10=0,"全部不适用","评分完成；按已确认阈值判定"))))))</x:f>
      </x:c>
    </x:row>
    <x:row r="11" ht="28" customHeight="1">
      <x:c r="A11" s="5" t="str">
        <x:f>IF('评分标准'!A11="","",'评分标准'!A11)</x:f>
      </x:c>
      <x:c r="B11" s="5" t="str">
        <x:f>IF(A11="","",'评分标准'!D11)</x:f>
      </x:c>
      <x:c r="C11" s="5" t="str">
        <x:f>IF(A11="","",COUNTIFS('评分工作台'!$D$2:$D$91,$A11,'评分工作台'!$A$2:$A$91,"&lt;&gt;"))</x:f>
      </x:c>
      <x:c r="D11" s="5" t="str">
        <x:f>IF(A11="","",COUNTIFS('评分工作台'!$D$2:$D$91,$A11,'评分工作台'!$R$2:$R$91,"已评分",'评分工作台'!$Q$2:$Q$91,"无"))</x:f>
      </x:c>
      <x:c r="E11" s="5" t="str">
        <x:f>IF(A11="","",COUNTIFS('评分工作台'!$D$2:$D$91,$A11,'评分工作台'!$R$2:$R$91,"不适用",'评分工作台'!$Q$2:$Q$91,"无"))</x:f>
      </x:c>
      <x:c r="F11" s="5" t="str">
        <x:f>IF(A11="","",COUNTIFS('评分工作台'!$D$2:$D$91,$A11,'评分工作台'!$R$2:$R$91,"样本待修订"))</x:f>
      </x:c>
      <x:c r="G11" s="9" t="str">
        <x:f>IF(OR(A11="",C11-E11=0),"",D11/(C11-E11))</x:f>
      </x:c>
      <x:c r="H11" s="9" t="str">
        <x:f>IF(OR(A11="",B11&lt;&gt;"二值",COUNTIFS('评分工作台'!$D$2:$D$91,$A11,'评分工作台'!$R$2:$R$91,"已评分",'评分工作台'!$Q$2:$Q$91,"无",'评分工作台'!$K$2:$K$91,"通过")+COUNTIFS('评分工作台'!$D$2:$D$91,$A11,'评分工作台'!$R$2:$R$91,"已评分",'评分工作台'!$Q$2:$Q$91,"无",'评分工作台'!$K$2:$K$91,"不通过")=0),"",COUNTIFS('评分工作台'!$D$2:$D$91,$A11,'评分工作台'!$R$2:$R$91,"已评分",'评分工作台'!$Q$2:$Q$91,"无",'评分工作台'!$K$2:$K$91,"通过")/(COUNTIFS('评分工作台'!$D$2:$D$91,$A11,'评分工作台'!$R$2:$R$91,"已评分",'评分工作台'!$Q$2:$Q$91,"无",'评分工作台'!$K$2:$K$91,"通过")+COUNTIFS('评分工作台'!$D$2:$D$91,$A11,'评分工作台'!$R$2:$R$91,"已评分",'评分工作台'!$Q$2:$Q$91,"无",'评分工作台'!$K$2:$K$91,"不通过")))</x:f>
      </x:c>
      <x:c r="I11" s="11" t="str">
        <x:f>IF(OR(A11="",B11&lt;&gt;"1-5",D11=0),"",SUMIFS('评分工作台'!$K$2:$K$91,'评分工作台'!$D$2:$D$91,A11,'评分工作台'!$R$2:$R$91,"已评分",'评分工作台'!$Q$2:$Q$91,"无")/D11)</x:f>
      </x:c>
      <x:c r="J11" s="5" t="str">
        <x:f>IF(OR(A11="",B11&lt;&gt;"GSB"),"",COUNTIFS('评分工作台'!$D$2:$D$91,$A11,'评分工作台'!$R$2:$R$91,"已评分",'评分工作台'!$Q$2:$Q$91,"无",'评分工作台'!$L$2:$L$91,"G"))</x:f>
      </x:c>
      <x:c r="K11" s="5" t="str">
        <x:f>IF(OR(A11="",B11&lt;&gt;"GSB"),"",COUNTIFS('评分工作台'!$D$2:$D$91,$A11,'评分工作台'!$R$2:$R$91,"已评分",'评分工作台'!$Q$2:$Q$91,"无",'评分工作台'!$L$2:$L$91,"S"))</x:f>
      </x:c>
      <x:c r="L11" s="5" t="str">
        <x:f>IF(OR(A11="",B11&lt;&gt;"GSB"),"",COUNTIFS('评分工作台'!$D$2:$D$91,$A11,'评分工作台'!$R$2:$R$91,"已评分",'评分工作台'!$Q$2:$Q$91,"无",'评分工作台'!$L$2:$L$91,"B"))</x:f>
      </x:c>
      <x:c r="M11" s="5" t="str">
        <x:f>IF(A11="","",COUNTIFS('评分工作台'!$D$2:$D$91,$A11,'评分工作台'!$N$2:$N$91,"不通过",'评分工作台'!$Q$2:$Q$91,"无"))</x:f>
      </x:c>
      <x:c r="N11" s="5" t="str">
        <x:f>IF(A11="","",IF(M11&gt;0,"存在候选否决",IF(F11&gt;0,"样本待修订",IF(C11=0,"待分配样本",IF(D11+E11&lt;C11,"待完成",IF(D11=0,"全部不适用","评分完成；按已确认阈值判定"))))))</x:f>
      </x:c>
    </x:row>
    <x:row r="12" ht="28" customHeight="1">
      <x:c r="A12" s="1" t="str">
        <x:f>IF('评分标准'!A12="","",'评分标准'!A12)</x:f>
      </x:c>
      <x:c r="B12" s="1" t="str">
        <x:f>IF(A12="","",'评分标准'!D12)</x:f>
      </x:c>
      <x:c r="C12" s="1" t="str">
        <x:f>IF(A12="","",COUNTIFS('评分工作台'!$D$2:$D$91,$A12,'评分工作台'!$A$2:$A$91,"&lt;&gt;"))</x:f>
      </x:c>
      <x:c r="D12" s="1" t="str">
        <x:f>IF(A12="","",COUNTIFS('评分工作台'!$D$2:$D$91,$A12,'评分工作台'!$R$2:$R$91,"已评分",'评分工作台'!$Q$2:$Q$91,"无"))</x:f>
      </x:c>
      <x:c r="E12" s="1" t="str">
        <x:f>IF(A12="","",COUNTIFS('评分工作台'!$D$2:$D$91,$A12,'评分工作台'!$R$2:$R$91,"不适用",'评分工作台'!$Q$2:$Q$91,"无"))</x:f>
      </x:c>
      <x:c r="F12" s="1" t="str">
        <x:f>IF(A12="","",COUNTIFS('评分工作台'!$D$2:$D$91,$A12,'评分工作台'!$R$2:$R$91,"样本待修订"))</x:f>
      </x:c>
      <x:c r="G12" s="8" t="str">
        <x:f>IF(OR(A12="",C12-E12=0),"",D12/(C12-E12))</x:f>
      </x:c>
      <x:c r="H12" s="8" t="str">
        <x:f>IF(OR(A12="",B12&lt;&gt;"二值",COUNTIFS('评分工作台'!$D$2:$D$91,$A12,'评分工作台'!$R$2:$R$91,"已评分",'评分工作台'!$Q$2:$Q$91,"无",'评分工作台'!$K$2:$K$91,"通过")+COUNTIFS('评分工作台'!$D$2:$D$91,$A12,'评分工作台'!$R$2:$R$91,"已评分",'评分工作台'!$Q$2:$Q$91,"无",'评分工作台'!$K$2:$K$91,"不通过")=0),"",COUNTIFS('评分工作台'!$D$2:$D$91,$A12,'评分工作台'!$R$2:$R$91,"已评分",'评分工作台'!$Q$2:$Q$91,"无",'评分工作台'!$K$2:$K$91,"通过")/(COUNTIFS('评分工作台'!$D$2:$D$91,$A12,'评分工作台'!$R$2:$R$91,"已评分",'评分工作台'!$Q$2:$Q$91,"无",'评分工作台'!$K$2:$K$91,"通过")+COUNTIFS('评分工作台'!$D$2:$D$91,$A12,'评分工作台'!$R$2:$R$91,"已评分",'评分工作台'!$Q$2:$Q$91,"无",'评分工作台'!$K$2:$K$91,"不通过")))</x:f>
      </x:c>
      <x:c r="I12" s="10" t="str">
        <x:f>IF(OR(A12="",B12&lt;&gt;"1-5",D12=0),"",SUMIFS('评分工作台'!$K$2:$K$91,'评分工作台'!$D$2:$D$91,A12,'评分工作台'!$R$2:$R$91,"已评分",'评分工作台'!$Q$2:$Q$91,"无")/D12)</x:f>
      </x:c>
      <x:c r="J12" s="1" t="str">
        <x:f>IF(OR(A12="",B12&lt;&gt;"GSB"),"",COUNTIFS('评分工作台'!$D$2:$D$91,$A12,'评分工作台'!$R$2:$R$91,"已评分",'评分工作台'!$Q$2:$Q$91,"无",'评分工作台'!$L$2:$L$91,"G"))</x:f>
      </x:c>
      <x:c r="K12" s="1" t="str">
        <x:f>IF(OR(A12="",B12&lt;&gt;"GSB"),"",COUNTIFS('评分工作台'!$D$2:$D$91,$A12,'评分工作台'!$R$2:$R$91,"已评分",'评分工作台'!$Q$2:$Q$91,"无",'评分工作台'!$L$2:$L$91,"S"))</x:f>
      </x:c>
      <x:c r="L12" s="1" t="str">
        <x:f>IF(OR(A12="",B12&lt;&gt;"GSB"),"",COUNTIFS('评分工作台'!$D$2:$D$91,$A12,'评分工作台'!$R$2:$R$91,"已评分",'评分工作台'!$Q$2:$Q$91,"无",'评分工作台'!$L$2:$L$91,"B"))</x:f>
      </x:c>
      <x:c r="M12" s="1" t="str">
        <x:f>IF(A12="","",COUNTIFS('评分工作台'!$D$2:$D$91,$A12,'评分工作台'!$N$2:$N$91,"不通过",'评分工作台'!$Q$2:$Q$91,"无"))</x:f>
      </x:c>
      <x:c r="N12" s="1" t="str">
        <x:f>IF(A12="","",IF(M12&gt;0,"存在候选否决",IF(F12&gt;0,"样本待修订",IF(C12=0,"待分配样本",IF(D12+E12&lt;C12,"待完成",IF(D12=0,"全部不适用","评分完成；按已确认阈值判定"))))))</x:f>
      </x:c>
    </x:row>
    <x:row r="13" ht="28" customHeight="1">
      <x:c r="A13" s="5" t="str">
        <x:f>IF('评分标准'!A13="","",'评分标准'!A13)</x:f>
      </x:c>
      <x:c r="B13" s="5" t="str">
        <x:f>IF(A13="","",'评分标准'!D13)</x:f>
      </x:c>
      <x:c r="C13" s="5" t="str">
        <x:f>IF(A13="","",COUNTIFS('评分工作台'!$D$2:$D$91,$A13,'评分工作台'!$A$2:$A$91,"&lt;&gt;"))</x:f>
      </x:c>
      <x:c r="D13" s="5" t="str">
        <x:f>IF(A13="","",COUNTIFS('评分工作台'!$D$2:$D$91,$A13,'评分工作台'!$R$2:$R$91,"已评分",'评分工作台'!$Q$2:$Q$91,"无"))</x:f>
      </x:c>
      <x:c r="E13" s="5" t="str">
        <x:f>IF(A13="","",COUNTIFS('评分工作台'!$D$2:$D$91,$A13,'评分工作台'!$R$2:$R$91,"不适用",'评分工作台'!$Q$2:$Q$91,"无"))</x:f>
      </x:c>
      <x:c r="F13" s="5" t="str">
        <x:f>IF(A13="","",COUNTIFS('评分工作台'!$D$2:$D$91,$A13,'评分工作台'!$R$2:$R$91,"样本待修订"))</x:f>
      </x:c>
      <x:c r="G13" s="9" t="str">
        <x:f>IF(OR(A13="",C13-E13=0),"",D13/(C13-E13))</x:f>
      </x:c>
      <x:c r="H13" s="9" t="str">
        <x:f>IF(OR(A13="",B13&lt;&gt;"二值",COUNTIFS('评分工作台'!$D$2:$D$91,$A13,'评分工作台'!$R$2:$R$91,"已评分",'评分工作台'!$Q$2:$Q$91,"无",'评分工作台'!$K$2:$K$91,"通过")+COUNTIFS('评分工作台'!$D$2:$D$91,$A13,'评分工作台'!$R$2:$R$91,"已评分",'评分工作台'!$Q$2:$Q$91,"无",'评分工作台'!$K$2:$K$91,"不通过")=0),"",COUNTIFS('评分工作台'!$D$2:$D$91,$A13,'评分工作台'!$R$2:$R$91,"已评分",'评分工作台'!$Q$2:$Q$91,"无",'评分工作台'!$K$2:$K$91,"通过")/(COUNTIFS('评分工作台'!$D$2:$D$91,$A13,'评分工作台'!$R$2:$R$91,"已评分",'评分工作台'!$Q$2:$Q$91,"无",'评分工作台'!$K$2:$K$91,"通过")+COUNTIFS('评分工作台'!$D$2:$D$91,$A13,'评分工作台'!$R$2:$R$91,"已评分",'评分工作台'!$Q$2:$Q$91,"无",'评分工作台'!$K$2:$K$91,"不通过")))</x:f>
      </x:c>
      <x:c r="I13" s="11" t="str">
        <x:f>IF(OR(A13="",B13&lt;&gt;"1-5",D13=0),"",SUMIFS('评分工作台'!$K$2:$K$91,'评分工作台'!$D$2:$D$91,A13,'评分工作台'!$R$2:$R$91,"已评分",'评分工作台'!$Q$2:$Q$91,"无")/D13)</x:f>
      </x:c>
      <x:c r="J13" s="5" t="str">
        <x:f>IF(OR(A13="",B13&lt;&gt;"GSB"),"",COUNTIFS('评分工作台'!$D$2:$D$91,$A13,'评分工作台'!$R$2:$R$91,"已评分",'评分工作台'!$Q$2:$Q$91,"无",'评分工作台'!$L$2:$L$91,"G"))</x:f>
      </x:c>
      <x:c r="K13" s="5" t="str">
        <x:f>IF(OR(A13="",B13&lt;&gt;"GSB"),"",COUNTIFS('评分工作台'!$D$2:$D$91,$A13,'评分工作台'!$R$2:$R$91,"已评分",'评分工作台'!$Q$2:$Q$91,"无",'评分工作台'!$L$2:$L$91,"S"))</x:f>
      </x:c>
      <x:c r="L13" s="5" t="str">
        <x:f>IF(OR(A13="",B13&lt;&gt;"GSB"),"",COUNTIFS('评分工作台'!$D$2:$D$91,$A13,'评分工作台'!$R$2:$R$91,"已评分",'评分工作台'!$Q$2:$Q$91,"无",'评分工作台'!$L$2:$L$91,"B"))</x:f>
      </x:c>
      <x:c r="M13" s="5" t="str">
        <x:f>IF(A13="","",COUNTIFS('评分工作台'!$D$2:$D$91,$A13,'评分工作台'!$N$2:$N$91,"不通过",'评分工作台'!$Q$2:$Q$91,"无"))</x:f>
      </x:c>
      <x:c r="N13" s="5" t="str">
        <x:f>IF(A13="","",IF(M13&gt;0,"存在候选否决",IF(F13&gt;0,"样本待修订",IF(C13=0,"待分配样本",IF(D13+E13&lt;C13,"待完成",IF(D13=0,"全部不适用","评分完成；按已确认阈值判定"))))))</x:f>
      </x:c>
    </x:row>
    <x:row r="14" ht="28" customHeight="1">
      <x:c r="A14" s="1" t="str">
        <x:f>IF('评分标准'!A14="","",'评分标准'!A14)</x:f>
      </x:c>
      <x:c r="B14" s="1" t="str">
        <x:f>IF(A14="","",'评分标准'!D14)</x:f>
      </x:c>
      <x:c r="C14" s="1" t="str">
        <x:f>IF(A14="","",COUNTIFS('评分工作台'!$D$2:$D$91,$A14,'评分工作台'!$A$2:$A$91,"&lt;&gt;"))</x:f>
      </x:c>
      <x:c r="D14" s="1" t="str">
        <x:f>IF(A14="","",COUNTIFS('评分工作台'!$D$2:$D$91,$A14,'评分工作台'!$R$2:$R$91,"已评分",'评分工作台'!$Q$2:$Q$91,"无"))</x:f>
      </x:c>
      <x:c r="E14" s="1" t="str">
        <x:f>IF(A14="","",COUNTIFS('评分工作台'!$D$2:$D$91,$A14,'评分工作台'!$R$2:$R$91,"不适用",'评分工作台'!$Q$2:$Q$91,"无"))</x:f>
      </x:c>
      <x:c r="F14" s="1" t="str">
        <x:f>IF(A14="","",COUNTIFS('评分工作台'!$D$2:$D$91,$A14,'评分工作台'!$R$2:$R$91,"样本待修订"))</x:f>
      </x:c>
      <x:c r="G14" s="8" t="str">
        <x:f>IF(OR(A14="",C14-E14=0),"",D14/(C14-E14))</x:f>
      </x:c>
      <x:c r="H14" s="8" t="str">
        <x:f>IF(OR(A14="",B14&lt;&gt;"二值",COUNTIFS('评分工作台'!$D$2:$D$91,$A14,'评分工作台'!$R$2:$R$91,"已评分",'评分工作台'!$Q$2:$Q$91,"无",'评分工作台'!$K$2:$K$91,"通过")+COUNTIFS('评分工作台'!$D$2:$D$91,$A14,'评分工作台'!$R$2:$R$91,"已评分",'评分工作台'!$Q$2:$Q$91,"无",'评分工作台'!$K$2:$K$91,"不通过")=0),"",COUNTIFS('评分工作台'!$D$2:$D$91,$A14,'评分工作台'!$R$2:$R$91,"已评分",'评分工作台'!$Q$2:$Q$91,"无",'评分工作台'!$K$2:$K$91,"通过")/(COUNTIFS('评分工作台'!$D$2:$D$91,$A14,'评分工作台'!$R$2:$R$91,"已评分",'评分工作台'!$Q$2:$Q$91,"无",'评分工作台'!$K$2:$K$91,"通过")+COUNTIFS('评分工作台'!$D$2:$D$91,$A14,'评分工作台'!$R$2:$R$91,"已评分",'评分工作台'!$Q$2:$Q$91,"无",'评分工作台'!$K$2:$K$91,"不通过")))</x:f>
      </x:c>
      <x:c r="I14" s="10" t="str">
        <x:f>IF(OR(A14="",B14&lt;&gt;"1-5",D14=0),"",SUMIFS('评分工作台'!$K$2:$K$91,'评分工作台'!$D$2:$D$91,A14,'评分工作台'!$R$2:$R$91,"已评分",'评分工作台'!$Q$2:$Q$91,"无")/D14)</x:f>
      </x:c>
      <x:c r="J14" s="1" t="str">
        <x:f>IF(OR(A14="",B14&lt;&gt;"GSB"),"",COUNTIFS('评分工作台'!$D$2:$D$91,$A14,'评分工作台'!$R$2:$R$91,"已评分",'评分工作台'!$Q$2:$Q$91,"无",'评分工作台'!$L$2:$L$91,"G"))</x:f>
      </x:c>
      <x:c r="K14" s="1" t="str">
        <x:f>IF(OR(A14="",B14&lt;&gt;"GSB"),"",COUNTIFS('评分工作台'!$D$2:$D$91,$A14,'评分工作台'!$R$2:$R$91,"已评分",'评分工作台'!$Q$2:$Q$91,"无",'评分工作台'!$L$2:$L$91,"S"))</x:f>
      </x:c>
      <x:c r="L14" s="1" t="str">
        <x:f>IF(OR(A14="",B14&lt;&gt;"GSB"),"",COUNTIFS('评分工作台'!$D$2:$D$91,$A14,'评分工作台'!$R$2:$R$91,"已评分",'评分工作台'!$Q$2:$Q$91,"无",'评分工作台'!$L$2:$L$91,"B"))</x:f>
      </x:c>
      <x:c r="M14" s="1" t="str">
        <x:f>IF(A14="","",COUNTIFS('评分工作台'!$D$2:$D$91,$A14,'评分工作台'!$N$2:$N$91,"不通过",'评分工作台'!$Q$2:$Q$91,"无"))</x:f>
      </x:c>
      <x:c r="N14" s="1" t="str">
        <x:f>IF(A14="","",IF(M14&gt;0,"存在候选否决",IF(F14&gt;0,"样本待修订",IF(C14=0,"待分配样本",IF(D14+E14&lt;C14,"待完成",IF(D14=0,"全部不适用","评分完成；按已确认阈值判定"))))))</x:f>
      </x:c>
    </x:row>
    <x:row r="15" ht="28" customHeight="1">
      <x:c r="A15" s="5" t="str">
        <x:f>IF('评分标准'!A15="","",'评分标准'!A15)</x:f>
      </x:c>
      <x:c r="B15" s="5" t="str">
        <x:f>IF(A15="","",'评分标准'!D15)</x:f>
      </x:c>
      <x:c r="C15" s="5" t="str">
        <x:f>IF(A15="","",COUNTIFS('评分工作台'!$D$2:$D$91,$A15,'评分工作台'!$A$2:$A$91,"&lt;&gt;"))</x:f>
      </x:c>
      <x:c r="D15" s="5" t="str">
        <x:f>IF(A15="","",COUNTIFS('评分工作台'!$D$2:$D$91,$A15,'评分工作台'!$R$2:$R$91,"已评分",'评分工作台'!$Q$2:$Q$91,"无"))</x:f>
      </x:c>
      <x:c r="E15" s="5" t="str">
        <x:f>IF(A15="","",COUNTIFS('评分工作台'!$D$2:$D$91,$A15,'评分工作台'!$R$2:$R$91,"不适用",'评分工作台'!$Q$2:$Q$91,"无"))</x:f>
      </x:c>
      <x:c r="F15" s="5" t="str">
        <x:f>IF(A15="","",COUNTIFS('评分工作台'!$D$2:$D$91,$A15,'评分工作台'!$R$2:$R$91,"样本待修订"))</x:f>
      </x:c>
      <x:c r="G15" s="9" t="str">
        <x:f>IF(OR(A15="",C15-E15=0),"",D15/(C15-E15))</x:f>
      </x:c>
      <x:c r="H15" s="9" t="str">
        <x:f>IF(OR(A15="",B15&lt;&gt;"二值",COUNTIFS('评分工作台'!$D$2:$D$91,$A15,'评分工作台'!$R$2:$R$91,"已评分",'评分工作台'!$Q$2:$Q$91,"无",'评分工作台'!$K$2:$K$91,"通过")+COUNTIFS('评分工作台'!$D$2:$D$91,$A15,'评分工作台'!$R$2:$R$91,"已评分",'评分工作台'!$Q$2:$Q$91,"无",'评分工作台'!$K$2:$K$91,"不通过")=0),"",COUNTIFS('评分工作台'!$D$2:$D$91,$A15,'评分工作台'!$R$2:$R$91,"已评分",'评分工作台'!$Q$2:$Q$91,"无",'评分工作台'!$K$2:$K$91,"通过")/(COUNTIFS('评分工作台'!$D$2:$D$91,$A15,'评分工作台'!$R$2:$R$91,"已评分",'评分工作台'!$Q$2:$Q$91,"无",'评分工作台'!$K$2:$K$91,"通过")+COUNTIFS('评分工作台'!$D$2:$D$91,$A15,'评分工作台'!$R$2:$R$91,"已评分",'评分工作台'!$Q$2:$Q$91,"无",'评分工作台'!$K$2:$K$91,"不通过")))</x:f>
      </x:c>
      <x:c r="I15" s="11" t="str">
        <x:f>IF(OR(A15="",B15&lt;&gt;"1-5",D15=0),"",SUMIFS('评分工作台'!$K$2:$K$91,'评分工作台'!$D$2:$D$91,A15,'评分工作台'!$R$2:$R$91,"已评分",'评分工作台'!$Q$2:$Q$91,"无")/D15)</x:f>
      </x:c>
      <x:c r="J15" s="5" t="str">
        <x:f>IF(OR(A15="",B15&lt;&gt;"GSB"),"",COUNTIFS('评分工作台'!$D$2:$D$91,$A15,'评分工作台'!$R$2:$R$91,"已评分",'评分工作台'!$Q$2:$Q$91,"无",'评分工作台'!$L$2:$L$91,"G"))</x:f>
      </x:c>
      <x:c r="K15" s="5" t="str">
        <x:f>IF(OR(A15="",B15&lt;&gt;"GSB"),"",COUNTIFS('评分工作台'!$D$2:$D$91,$A15,'评分工作台'!$R$2:$R$91,"已评分",'评分工作台'!$Q$2:$Q$91,"无",'评分工作台'!$L$2:$L$91,"S"))</x:f>
      </x:c>
      <x:c r="L15" s="5" t="str">
        <x:f>IF(OR(A15="",B15&lt;&gt;"GSB"),"",COUNTIFS('评分工作台'!$D$2:$D$91,$A15,'评分工作台'!$R$2:$R$91,"已评分",'评分工作台'!$Q$2:$Q$91,"无",'评分工作台'!$L$2:$L$91,"B"))</x:f>
      </x:c>
      <x:c r="M15" s="5" t="str">
        <x:f>IF(A15="","",COUNTIFS('评分工作台'!$D$2:$D$91,$A15,'评分工作台'!$N$2:$N$91,"不通过",'评分工作台'!$Q$2:$Q$91,"无"))</x:f>
      </x:c>
      <x:c r="N15" s="5" t="str">
        <x:f>IF(A15="","",IF(M15&gt;0,"存在候选否决",IF(F15&gt;0,"样本待修订",IF(C15=0,"待分配样本",IF(D15+E15&lt;C15,"待完成",IF(D15=0,"全部不适用","评分完成；按已确认阈值判定"))))))</x:f>
      </x:c>
    </x:row>
    <x:row r="16" ht="28" customHeight="1">
      <x:c r="A16" s="1" t="str">
        <x:f>IF('评分标准'!A16="","",'评分标准'!A16)</x:f>
      </x:c>
      <x:c r="B16" s="1" t="str">
        <x:f>IF(A16="","",'评分标准'!D16)</x:f>
      </x:c>
      <x:c r="C16" s="1" t="str">
        <x:f>IF(A16="","",COUNTIFS('评分工作台'!$D$2:$D$91,$A16,'评分工作台'!$A$2:$A$91,"&lt;&gt;"))</x:f>
      </x:c>
      <x:c r="D16" s="1" t="str">
        <x:f>IF(A16="","",COUNTIFS('评分工作台'!$D$2:$D$91,$A16,'评分工作台'!$R$2:$R$91,"已评分",'评分工作台'!$Q$2:$Q$91,"无"))</x:f>
      </x:c>
      <x:c r="E16" s="1" t="str">
        <x:f>IF(A16="","",COUNTIFS('评分工作台'!$D$2:$D$91,$A16,'评分工作台'!$R$2:$R$91,"不适用",'评分工作台'!$Q$2:$Q$91,"无"))</x:f>
      </x:c>
      <x:c r="F16" s="1" t="str">
        <x:f>IF(A16="","",COUNTIFS('评分工作台'!$D$2:$D$91,$A16,'评分工作台'!$R$2:$R$91,"样本待修订"))</x:f>
      </x:c>
      <x:c r="G16" s="8" t="str">
        <x:f>IF(OR(A16="",C16-E16=0),"",D16/(C16-E16))</x:f>
      </x:c>
      <x:c r="H16" s="8" t="str">
        <x:f>IF(OR(A16="",B16&lt;&gt;"二值",COUNTIFS('评分工作台'!$D$2:$D$91,$A16,'评分工作台'!$R$2:$R$91,"已评分",'评分工作台'!$Q$2:$Q$91,"无",'评分工作台'!$K$2:$K$91,"通过")+COUNTIFS('评分工作台'!$D$2:$D$91,$A16,'评分工作台'!$R$2:$R$91,"已评分",'评分工作台'!$Q$2:$Q$91,"无",'评分工作台'!$K$2:$K$91,"不通过")=0),"",COUNTIFS('评分工作台'!$D$2:$D$91,$A16,'评分工作台'!$R$2:$R$91,"已评分",'评分工作台'!$Q$2:$Q$91,"无",'评分工作台'!$K$2:$K$91,"通过")/(COUNTIFS('评分工作台'!$D$2:$D$91,$A16,'评分工作台'!$R$2:$R$91,"已评分",'评分工作台'!$Q$2:$Q$91,"无",'评分工作台'!$K$2:$K$91,"通过")+COUNTIFS('评分工作台'!$D$2:$D$91,$A16,'评分工作台'!$R$2:$R$91,"已评分",'评分工作台'!$Q$2:$Q$91,"无",'评分工作台'!$K$2:$K$91,"不通过")))</x:f>
      </x:c>
      <x:c r="I16" s="10" t="str">
        <x:f>IF(OR(A16="",B16&lt;&gt;"1-5",D16=0),"",SUMIFS('评分工作台'!$K$2:$K$91,'评分工作台'!$D$2:$D$91,A16,'评分工作台'!$R$2:$R$91,"已评分",'评分工作台'!$Q$2:$Q$91,"无")/D16)</x:f>
      </x:c>
      <x:c r="J16" s="1" t="str">
        <x:f>IF(OR(A16="",B16&lt;&gt;"GSB"),"",COUNTIFS('评分工作台'!$D$2:$D$91,$A16,'评分工作台'!$R$2:$R$91,"已评分",'评分工作台'!$Q$2:$Q$91,"无",'评分工作台'!$L$2:$L$91,"G"))</x:f>
      </x:c>
      <x:c r="K16" s="1" t="str">
        <x:f>IF(OR(A16="",B16&lt;&gt;"GSB"),"",COUNTIFS('评分工作台'!$D$2:$D$91,$A16,'评分工作台'!$R$2:$R$91,"已评分",'评分工作台'!$Q$2:$Q$91,"无",'评分工作台'!$L$2:$L$91,"S"))</x:f>
      </x:c>
      <x:c r="L16" s="1" t="str">
        <x:f>IF(OR(A16="",B16&lt;&gt;"GSB"),"",COUNTIFS('评分工作台'!$D$2:$D$91,$A16,'评分工作台'!$R$2:$R$91,"已评分",'评分工作台'!$Q$2:$Q$91,"无",'评分工作台'!$L$2:$L$91,"B"))</x:f>
      </x:c>
      <x:c r="M16" s="1" t="str">
        <x:f>IF(A16="","",COUNTIFS('评分工作台'!$D$2:$D$91,$A16,'评分工作台'!$N$2:$N$91,"不通过",'评分工作台'!$Q$2:$Q$91,"无"))</x:f>
      </x:c>
      <x:c r="N16" s="1" t="str">
        <x:f>IF(A16="","",IF(M16&gt;0,"存在候选否决",IF(F16&gt;0,"样本待修订",IF(C16=0,"待分配样本",IF(D16+E16&lt;C16,"待完成",IF(D16=0,"全部不适用","评分完成；按已确认阈值判定"))))))</x:f>
      </x:c>
    </x:row>
    <x:row r="17" ht="28" customHeight="1">
      <x:c r="A17" s="5" t="str">
        <x:f>IF('评分标准'!A17="","",'评分标准'!A17)</x:f>
      </x:c>
      <x:c r="B17" s="5" t="str">
        <x:f>IF(A17="","",'评分标准'!D17)</x:f>
      </x:c>
      <x:c r="C17" s="5" t="str">
        <x:f>IF(A17="","",COUNTIFS('评分工作台'!$D$2:$D$91,$A17,'评分工作台'!$A$2:$A$91,"&lt;&gt;"))</x:f>
      </x:c>
      <x:c r="D17" s="5" t="str">
        <x:f>IF(A17="","",COUNTIFS('评分工作台'!$D$2:$D$91,$A17,'评分工作台'!$R$2:$R$91,"已评分",'评分工作台'!$Q$2:$Q$91,"无"))</x:f>
      </x:c>
      <x:c r="E17" s="5" t="str">
        <x:f>IF(A17="","",COUNTIFS('评分工作台'!$D$2:$D$91,$A17,'评分工作台'!$R$2:$R$91,"不适用",'评分工作台'!$Q$2:$Q$91,"无"))</x:f>
      </x:c>
      <x:c r="F17" s="5" t="str">
        <x:f>IF(A17="","",COUNTIFS('评分工作台'!$D$2:$D$91,$A17,'评分工作台'!$R$2:$R$91,"样本待修订"))</x:f>
      </x:c>
      <x:c r="G17" s="9" t="str">
        <x:f>IF(OR(A17="",C17-E17=0),"",D17/(C17-E17))</x:f>
      </x:c>
      <x:c r="H17" s="9" t="str">
        <x:f>IF(OR(A17="",B17&lt;&gt;"二值",COUNTIFS('评分工作台'!$D$2:$D$91,$A17,'评分工作台'!$R$2:$R$91,"已评分",'评分工作台'!$Q$2:$Q$91,"无",'评分工作台'!$K$2:$K$91,"通过")+COUNTIFS('评分工作台'!$D$2:$D$91,$A17,'评分工作台'!$R$2:$R$91,"已评分",'评分工作台'!$Q$2:$Q$91,"无",'评分工作台'!$K$2:$K$91,"不通过")=0),"",COUNTIFS('评分工作台'!$D$2:$D$91,$A17,'评分工作台'!$R$2:$R$91,"已评分",'评分工作台'!$Q$2:$Q$91,"无",'评分工作台'!$K$2:$K$91,"通过")/(COUNTIFS('评分工作台'!$D$2:$D$91,$A17,'评分工作台'!$R$2:$R$91,"已评分",'评分工作台'!$Q$2:$Q$91,"无",'评分工作台'!$K$2:$K$91,"通过")+COUNTIFS('评分工作台'!$D$2:$D$91,$A17,'评分工作台'!$R$2:$R$91,"已评分",'评分工作台'!$Q$2:$Q$91,"无",'评分工作台'!$K$2:$K$91,"不通过")))</x:f>
      </x:c>
      <x:c r="I17" s="11" t="str">
        <x:f>IF(OR(A17="",B17&lt;&gt;"1-5",D17=0),"",SUMIFS('评分工作台'!$K$2:$K$91,'评分工作台'!$D$2:$D$91,A17,'评分工作台'!$R$2:$R$91,"已评分",'评分工作台'!$Q$2:$Q$91,"无")/D17)</x:f>
      </x:c>
      <x:c r="J17" s="5" t="str">
        <x:f>IF(OR(A17="",B17&lt;&gt;"GSB"),"",COUNTIFS('评分工作台'!$D$2:$D$91,$A17,'评分工作台'!$R$2:$R$91,"已评分",'评分工作台'!$Q$2:$Q$91,"无",'评分工作台'!$L$2:$L$91,"G"))</x:f>
      </x:c>
      <x:c r="K17" s="5" t="str">
        <x:f>IF(OR(A17="",B17&lt;&gt;"GSB"),"",COUNTIFS('评分工作台'!$D$2:$D$91,$A17,'评分工作台'!$R$2:$R$91,"已评分",'评分工作台'!$Q$2:$Q$91,"无",'评分工作台'!$L$2:$L$91,"S"))</x:f>
      </x:c>
      <x:c r="L17" s="5" t="str">
        <x:f>IF(OR(A17="",B17&lt;&gt;"GSB"),"",COUNTIFS('评分工作台'!$D$2:$D$91,$A17,'评分工作台'!$R$2:$R$91,"已评分",'评分工作台'!$Q$2:$Q$91,"无",'评分工作台'!$L$2:$L$91,"B"))</x:f>
      </x:c>
      <x:c r="M17" s="5" t="str">
        <x:f>IF(A17="","",COUNTIFS('评分工作台'!$D$2:$D$91,$A17,'评分工作台'!$N$2:$N$91,"不通过",'评分工作台'!$Q$2:$Q$91,"无"))</x:f>
      </x:c>
      <x:c r="N17" s="5" t="str">
        <x:f>IF(A17="","",IF(M17&gt;0,"存在候选否决",IF(F17&gt;0,"样本待修订",IF(C17=0,"待分配样本",IF(D17+E17&lt;C17,"待完成",IF(D17=0,"全部不适用","评分完成；按已确认阈值判定"))))))</x:f>
      </x:c>
    </x:row>
    <x:row r="18" ht="28" customHeight="1">
      <x:c r="A18" s="1" t="str">
        <x:f>IF('评分标准'!A18="","",'评分标准'!A18)</x:f>
      </x:c>
      <x:c r="B18" s="1" t="str">
        <x:f>IF(A18="","",'评分标准'!D18)</x:f>
      </x:c>
      <x:c r="C18" s="1" t="str">
        <x:f>IF(A18="","",COUNTIFS('评分工作台'!$D$2:$D$91,$A18,'评分工作台'!$A$2:$A$91,"&lt;&gt;"))</x:f>
      </x:c>
      <x:c r="D18" s="1" t="str">
        <x:f>IF(A18="","",COUNTIFS('评分工作台'!$D$2:$D$91,$A18,'评分工作台'!$R$2:$R$91,"已评分",'评分工作台'!$Q$2:$Q$91,"无"))</x:f>
      </x:c>
      <x:c r="E18" s="1" t="str">
        <x:f>IF(A18="","",COUNTIFS('评分工作台'!$D$2:$D$91,$A18,'评分工作台'!$R$2:$R$91,"不适用",'评分工作台'!$Q$2:$Q$91,"无"))</x:f>
      </x:c>
      <x:c r="F18" s="1" t="str">
        <x:f>IF(A18="","",COUNTIFS('评分工作台'!$D$2:$D$91,$A18,'评分工作台'!$R$2:$R$91,"样本待修订"))</x:f>
      </x:c>
      <x:c r="G18" s="8" t="str">
        <x:f>IF(OR(A18="",C18-E18=0),"",D18/(C18-E18))</x:f>
      </x:c>
      <x:c r="H18" s="8" t="str">
        <x:f>IF(OR(A18="",B18&lt;&gt;"二值",COUNTIFS('评分工作台'!$D$2:$D$91,$A18,'评分工作台'!$R$2:$R$91,"已评分",'评分工作台'!$Q$2:$Q$91,"无",'评分工作台'!$K$2:$K$91,"通过")+COUNTIFS('评分工作台'!$D$2:$D$91,$A18,'评分工作台'!$R$2:$R$91,"已评分",'评分工作台'!$Q$2:$Q$91,"无",'评分工作台'!$K$2:$K$91,"不通过")=0),"",COUNTIFS('评分工作台'!$D$2:$D$91,$A18,'评分工作台'!$R$2:$R$91,"已评分",'评分工作台'!$Q$2:$Q$91,"无",'评分工作台'!$K$2:$K$91,"通过")/(COUNTIFS('评分工作台'!$D$2:$D$91,$A18,'评分工作台'!$R$2:$R$91,"已评分",'评分工作台'!$Q$2:$Q$91,"无",'评分工作台'!$K$2:$K$91,"通过")+COUNTIFS('评分工作台'!$D$2:$D$91,$A18,'评分工作台'!$R$2:$R$91,"已评分",'评分工作台'!$Q$2:$Q$91,"无",'评分工作台'!$K$2:$K$91,"不通过")))</x:f>
      </x:c>
      <x:c r="I18" s="10" t="str">
        <x:f>IF(OR(A18="",B18&lt;&gt;"1-5",D18=0),"",SUMIFS('评分工作台'!$K$2:$K$91,'评分工作台'!$D$2:$D$91,A18,'评分工作台'!$R$2:$R$91,"已评分",'评分工作台'!$Q$2:$Q$91,"无")/D18)</x:f>
      </x:c>
      <x:c r="J18" s="1" t="str">
        <x:f>IF(OR(A18="",B18&lt;&gt;"GSB"),"",COUNTIFS('评分工作台'!$D$2:$D$91,$A18,'评分工作台'!$R$2:$R$91,"已评分",'评分工作台'!$Q$2:$Q$91,"无",'评分工作台'!$L$2:$L$91,"G"))</x:f>
      </x:c>
      <x:c r="K18" s="1" t="str">
        <x:f>IF(OR(A18="",B18&lt;&gt;"GSB"),"",COUNTIFS('评分工作台'!$D$2:$D$91,$A18,'评分工作台'!$R$2:$R$91,"已评分",'评分工作台'!$Q$2:$Q$91,"无",'评分工作台'!$L$2:$L$91,"S"))</x:f>
      </x:c>
      <x:c r="L18" s="1" t="str">
        <x:f>IF(OR(A18="",B18&lt;&gt;"GSB"),"",COUNTIFS('评分工作台'!$D$2:$D$91,$A18,'评分工作台'!$R$2:$R$91,"已评分",'评分工作台'!$Q$2:$Q$91,"无",'评分工作台'!$L$2:$L$91,"B"))</x:f>
      </x:c>
      <x:c r="M18" s="1" t="str">
        <x:f>IF(A18="","",COUNTIFS('评分工作台'!$D$2:$D$91,$A18,'评分工作台'!$N$2:$N$91,"不通过",'评分工作台'!$Q$2:$Q$91,"无"))</x:f>
      </x:c>
      <x:c r="N18" s="1" t="str">
        <x:f>IF(A18="","",IF(M18&gt;0,"存在候选否决",IF(F18&gt;0,"样本待修订",IF(C18=0,"待分配样本",IF(D18+E18&lt;C18,"待完成",IF(D18=0,"全部不适用","评分完成；按已确认阈值判定"))))))</x:f>
      </x:c>
    </x:row>
    <x:row r="19" ht="28" customHeight="1">
      <x:c r="A19" s="5" t="str">
        <x:f>IF('评分标准'!A19="","",'评分标准'!A19)</x:f>
      </x:c>
      <x:c r="B19" s="5" t="str">
        <x:f>IF(A19="","",'评分标准'!D19)</x:f>
      </x:c>
      <x:c r="C19" s="5" t="str">
        <x:f>IF(A19="","",COUNTIFS('评分工作台'!$D$2:$D$91,$A19,'评分工作台'!$A$2:$A$91,"&lt;&gt;"))</x:f>
      </x:c>
      <x:c r="D19" s="5" t="str">
        <x:f>IF(A19="","",COUNTIFS('评分工作台'!$D$2:$D$91,$A19,'评分工作台'!$R$2:$R$91,"已评分",'评分工作台'!$Q$2:$Q$91,"无"))</x:f>
      </x:c>
      <x:c r="E19" s="5" t="str">
        <x:f>IF(A19="","",COUNTIFS('评分工作台'!$D$2:$D$91,$A19,'评分工作台'!$R$2:$R$91,"不适用",'评分工作台'!$Q$2:$Q$91,"无"))</x:f>
      </x:c>
      <x:c r="F19" s="5" t="str">
        <x:f>IF(A19="","",COUNTIFS('评分工作台'!$D$2:$D$91,$A19,'评分工作台'!$R$2:$R$91,"样本待修订"))</x:f>
      </x:c>
      <x:c r="G19" s="9" t="str">
        <x:f>IF(OR(A19="",C19-E19=0),"",D19/(C19-E19))</x:f>
      </x:c>
      <x:c r="H19" s="9" t="str">
        <x:f>IF(OR(A19="",B19&lt;&gt;"二值",COUNTIFS('评分工作台'!$D$2:$D$91,$A19,'评分工作台'!$R$2:$R$91,"已评分",'评分工作台'!$Q$2:$Q$91,"无",'评分工作台'!$K$2:$K$91,"通过")+COUNTIFS('评分工作台'!$D$2:$D$91,$A19,'评分工作台'!$R$2:$R$91,"已评分",'评分工作台'!$Q$2:$Q$91,"无",'评分工作台'!$K$2:$K$91,"不通过")=0),"",COUNTIFS('评分工作台'!$D$2:$D$91,$A19,'评分工作台'!$R$2:$R$91,"已评分",'评分工作台'!$Q$2:$Q$91,"无",'评分工作台'!$K$2:$K$91,"通过")/(COUNTIFS('评分工作台'!$D$2:$D$91,$A19,'评分工作台'!$R$2:$R$91,"已评分",'评分工作台'!$Q$2:$Q$91,"无",'评分工作台'!$K$2:$K$91,"通过")+COUNTIFS('评分工作台'!$D$2:$D$91,$A19,'评分工作台'!$R$2:$R$91,"已评分",'评分工作台'!$Q$2:$Q$91,"无",'评分工作台'!$K$2:$K$91,"不通过")))</x:f>
      </x:c>
      <x:c r="I19" s="11" t="str">
        <x:f>IF(OR(A19="",B19&lt;&gt;"1-5",D19=0),"",SUMIFS('评分工作台'!$K$2:$K$91,'评分工作台'!$D$2:$D$91,A19,'评分工作台'!$R$2:$R$91,"已评分",'评分工作台'!$Q$2:$Q$91,"无")/D19)</x:f>
      </x:c>
      <x:c r="J19" s="5" t="str">
        <x:f>IF(OR(A19="",B19&lt;&gt;"GSB"),"",COUNTIFS('评分工作台'!$D$2:$D$91,$A19,'评分工作台'!$R$2:$R$91,"已评分",'评分工作台'!$Q$2:$Q$91,"无",'评分工作台'!$L$2:$L$91,"G"))</x:f>
      </x:c>
      <x:c r="K19" s="5" t="str">
        <x:f>IF(OR(A19="",B19&lt;&gt;"GSB"),"",COUNTIFS('评分工作台'!$D$2:$D$91,$A19,'评分工作台'!$R$2:$R$91,"已评分",'评分工作台'!$Q$2:$Q$91,"无",'评分工作台'!$L$2:$L$91,"S"))</x:f>
      </x:c>
      <x:c r="L19" s="5" t="str">
        <x:f>IF(OR(A19="",B19&lt;&gt;"GSB"),"",COUNTIFS('评分工作台'!$D$2:$D$91,$A19,'评分工作台'!$R$2:$R$91,"已评分",'评分工作台'!$Q$2:$Q$91,"无",'评分工作台'!$L$2:$L$91,"B"))</x:f>
      </x:c>
      <x:c r="M19" s="5" t="str">
        <x:f>IF(A19="","",COUNTIFS('评分工作台'!$D$2:$D$91,$A19,'评分工作台'!$N$2:$N$91,"不通过",'评分工作台'!$Q$2:$Q$91,"无"))</x:f>
      </x:c>
      <x:c r="N19" s="5" t="str">
        <x:f>IF(A19="","",IF(M19&gt;0,"存在候选否决",IF(F19&gt;0,"样本待修订",IF(C19=0,"待分配样本",IF(D19+E19&lt;C19,"待完成",IF(D19=0,"全部不适用","评分完成；按已确认阈值判定"))))))</x:f>
      </x:c>
    </x:row>
    <x:row r="20" ht="28" customHeight="1">
      <x:c r="A20" s="1" t="str">
        <x:f>IF('评分标准'!A20="","",'评分标准'!A20)</x:f>
      </x:c>
      <x:c r="B20" s="1" t="str">
        <x:f>IF(A20="","",'评分标准'!D20)</x:f>
      </x:c>
      <x:c r="C20" s="1" t="str">
        <x:f>IF(A20="","",COUNTIFS('评分工作台'!$D$2:$D$91,$A20,'评分工作台'!$A$2:$A$91,"&lt;&gt;"))</x:f>
      </x:c>
      <x:c r="D20" s="1" t="str">
        <x:f>IF(A20="","",COUNTIFS('评分工作台'!$D$2:$D$91,$A20,'评分工作台'!$R$2:$R$91,"已评分",'评分工作台'!$Q$2:$Q$91,"无"))</x:f>
      </x:c>
      <x:c r="E20" s="1" t="str">
        <x:f>IF(A20="","",COUNTIFS('评分工作台'!$D$2:$D$91,$A20,'评分工作台'!$R$2:$R$91,"不适用",'评分工作台'!$Q$2:$Q$91,"无"))</x:f>
      </x:c>
      <x:c r="F20" s="1" t="str">
        <x:f>IF(A20="","",COUNTIFS('评分工作台'!$D$2:$D$91,$A20,'评分工作台'!$R$2:$R$91,"样本待修订"))</x:f>
      </x:c>
      <x:c r="G20" s="8" t="str">
        <x:f>IF(OR(A20="",C20-E20=0),"",D20/(C20-E20))</x:f>
      </x:c>
      <x:c r="H20" s="8" t="str">
        <x:f>IF(OR(A20="",B20&lt;&gt;"二值",COUNTIFS('评分工作台'!$D$2:$D$91,$A20,'评分工作台'!$R$2:$R$91,"已评分",'评分工作台'!$Q$2:$Q$91,"无",'评分工作台'!$K$2:$K$91,"通过")+COUNTIFS('评分工作台'!$D$2:$D$91,$A20,'评分工作台'!$R$2:$R$91,"已评分",'评分工作台'!$Q$2:$Q$91,"无",'评分工作台'!$K$2:$K$91,"不通过")=0),"",COUNTIFS('评分工作台'!$D$2:$D$91,$A20,'评分工作台'!$R$2:$R$91,"已评分",'评分工作台'!$Q$2:$Q$91,"无",'评分工作台'!$K$2:$K$91,"通过")/(COUNTIFS('评分工作台'!$D$2:$D$91,$A20,'评分工作台'!$R$2:$R$91,"已评分",'评分工作台'!$Q$2:$Q$91,"无",'评分工作台'!$K$2:$K$91,"通过")+COUNTIFS('评分工作台'!$D$2:$D$91,$A20,'评分工作台'!$R$2:$R$91,"已评分",'评分工作台'!$Q$2:$Q$91,"无",'评分工作台'!$K$2:$K$91,"不通过")))</x:f>
      </x:c>
      <x:c r="I20" s="10" t="str">
        <x:f>IF(OR(A20="",B20&lt;&gt;"1-5",D20=0),"",SUMIFS('评分工作台'!$K$2:$K$91,'评分工作台'!$D$2:$D$91,A20,'评分工作台'!$R$2:$R$91,"已评分",'评分工作台'!$Q$2:$Q$91,"无")/D20)</x:f>
      </x:c>
      <x:c r="J20" s="1" t="str">
        <x:f>IF(OR(A20="",B20&lt;&gt;"GSB"),"",COUNTIFS('评分工作台'!$D$2:$D$91,$A20,'评分工作台'!$R$2:$R$91,"已评分",'评分工作台'!$Q$2:$Q$91,"无",'评分工作台'!$L$2:$L$91,"G"))</x:f>
      </x:c>
      <x:c r="K20" s="1" t="str">
        <x:f>IF(OR(A20="",B20&lt;&gt;"GSB"),"",COUNTIFS('评分工作台'!$D$2:$D$91,$A20,'评分工作台'!$R$2:$R$91,"已评分",'评分工作台'!$Q$2:$Q$91,"无",'评分工作台'!$L$2:$L$91,"S"))</x:f>
      </x:c>
      <x:c r="L20" s="1" t="str">
        <x:f>IF(OR(A20="",B20&lt;&gt;"GSB"),"",COUNTIFS('评分工作台'!$D$2:$D$91,$A20,'评分工作台'!$R$2:$R$91,"已评分",'评分工作台'!$Q$2:$Q$91,"无",'评分工作台'!$L$2:$L$91,"B"))</x:f>
      </x:c>
      <x:c r="M20" s="1" t="str">
        <x:f>IF(A20="","",COUNTIFS('评分工作台'!$D$2:$D$91,$A20,'评分工作台'!$N$2:$N$91,"不通过",'评分工作台'!$Q$2:$Q$91,"无"))</x:f>
      </x:c>
      <x:c r="N20" s="1" t="str">
        <x:f>IF(A20="","",IF(M20&gt;0,"存在候选否决",IF(F20&gt;0,"样本待修订",IF(C20=0,"待分配样本",IF(D20+E20&lt;C20,"待完成",IF(D20=0,"全部不适用","评分完成；按已确认阈值判定"))))))</x:f>
      </x:c>
    </x:row>
    <x:row r="21" ht="28" customHeight="1">
      <x:c r="A21" s="5" t="str">
        <x:f>IF('评分标准'!A21="","",'评分标准'!A21)</x:f>
      </x:c>
      <x:c r="B21" s="5" t="str">
        <x:f>IF(A21="","",'评分标准'!D21)</x:f>
      </x:c>
      <x:c r="C21" s="5" t="str">
        <x:f>IF(A21="","",COUNTIFS('评分工作台'!$D$2:$D$91,$A21,'评分工作台'!$A$2:$A$91,"&lt;&gt;"))</x:f>
      </x:c>
      <x:c r="D21" s="5" t="str">
        <x:f>IF(A21="","",COUNTIFS('评分工作台'!$D$2:$D$91,$A21,'评分工作台'!$R$2:$R$91,"已评分",'评分工作台'!$Q$2:$Q$91,"无"))</x:f>
      </x:c>
      <x:c r="E21" s="5" t="str">
        <x:f>IF(A21="","",COUNTIFS('评分工作台'!$D$2:$D$91,$A21,'评分工作台'!$R$2:$R$91,"不适用",'评分工作台'!$Q$2:$Q$91,"无"))</x:f>
      </x:c>
      <x:c r="F21" s="5" t="str">
        <x:f>IF(A21="","",COUNTIFS('评分工作台'!$D$2:$D$91,$A21,'评分工作台'!$R$2:$R$91,"样本待修订"))</x:f>
      </x:c>
      <x:c r="G21" s="9" t="str">
        <x:f>IF(OR(A21="",C21-E21=0),"",D21/(C21-E21))</x:f>
      </x:c>
      <x:c r="H21" s="9" t="str">
        <x:f>IF(OR(A21="",B21&lt;&gt;"二值",COUNTIFS('评分工作台'!$D$2:$D$91,$A21,'评分工作台'!$R$2:$R$91,"已评分",'评分工作台'!$Q$2:$Q$91,"无",'评分工作台'!$K$2:$K$91,"通过")+COUNTIFS('评分工作台'!$D$2:$D$91,$A21,'评分工作台'!$R$2:$R$91,"已评分",'评分工作台'!$Q$2:$Q$91,"无",'评分工作台'!$K$2:$K$91,"不通过")=0),"",COUNTIFS('评分工作台'!$D$2:$D$91,$A21,'评分工作台'!$R$2:$R$91,"已评分",'评分工作台'!$Q$2:$Q$91,"无",'评分工作台'!$K$2:$K$91,"通过")/(COUNTIFS('评分工作台'!$D$2:$D$91,$A21,'评分工作台'!$R$2:$R$91,"已评分",'评分工作台'!$Q$2:$Q$91,"无",'评分工作台'!$K$2:$K$91,"通过")+COUNTIFS('评分工作台'!$D$2:$D$91,$A21,'评分工作台'!$R$2:$R$91,"已评分",'评分工作台'!$Q$2:$Q$91,"无",'评分工作台'!$K$2:$K$91,"不通过")))</x:f>
      </x:c>
      <x:c r="I21" s="11" t="str">
        <x:f>IF(OR(A21="",B21&lt;&gt;"1-5",D21=0),"",SUMIFS('评分工作台'!$K$2:$K$91,'评分工作台'!$D$2:$D$91,A21,'评分工作台'!$R$2:$R$91,"已评分",'评分工作台'!$Q$2:$Q$91,"无")/D21)</x:f>
      </x:c>
      <x:c r="J21" s="5" t="str">
        <x:f>IF(OR(A21="",B21&lt;&gt;"GSB"),"",COUNTIFS('评分工作台'!$D$2:$D$91,$A21,'评分工作台'!$R$2:$R$91,"已评分",'评分工作台'!$Q$2:$Q$91,"无",'评分工作台'!$L$2:$L$91,"G"))</x:f>
      </x:c>
      <x:c r="K21" s="5" t="str">
        <x:f>IF(OR(A21="",B21&lt;&gt;"GSB"),"",COUNTIFS('评分工作台'!$D$2:$D$91,$A21,'评分工作台'!$R$2:$R$91,"已评分",'评分工作台'!$Q$2:$Q$91,"无",'评分工作台'!$L$2:$L$91,"S"))</x:f>
      </x:c>
      <x:c r="L21" s="5" t="str">
        <x:f>IF(OR(A21="",B21&lt;&gt;"GSB"),"",COUNTIFS('评分工作台'!$D$2:$D$91,$A21,'评分工作台'!$R$2:$R$91,"已评分",'评分工作台'!$Q$2:$Q$91,"无",'评分工作台'!$L$2:$L$91,"B"))</x:f>
      </x:c>
      <x:c r="M21" s="5" t="str">
        <x:f>IF(A21="","",COUNTIFS('评分工作台'!$D$2:$D$91,$A21,'评分工作台'!$N$2:$N$91,"不通过",'评分工作台'!$Q$2:$Q$91,"无"))</x:f>
      </x:c>
      <x:c r="N21" s="5" t="str">
        <x:f>IF(A21="","",IF(M21&gt;0,"存在候选否决",IF(F21&gt;0,"样本待修订",IF(C21=0,"待分配样本",IF(D21+E21&lt;C21,"待完成",IF(D21=0,"全部不适用","评分完成；按已确认阈值判定"))))))</x:f>
      </x:c>
    </x:row>
  </x:sheetData>
  <x:pageMargins left="0.7" right="0.7" top="0.75" bottom="0.75" header="0.3" footer="0.3"/>
</x:worksheet>
</file>